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aglauser/Desktop/"/>
    </mc:Choice>
  </mc:AlternateContent>
  <xr:revisionPtr revIDLastSave="0" documentId="13_ncr:1_{8F2CD0F2-09E4-7B48-AB44-F232B9D67BB9}" xr6:coauthVersionLast="47" xr6:coauthVersionMax="47" xr10:uidLastSave="{00000000-0000-0000-0000-000000000000}"/>
  <bookViews>
    <workbookView xWindow="16040" yWindow="740" windowWidth="12780" windowHeight="17160" activeTab="1" xr2:uid="{4A50A53F-A660-614E-8C24-26300A9E8E8C}"/>
  </bookViews>
  <sheets>
    <sheet name="Tabelle1" sheetId="1" r:id="rId1"/>
    <sheet name="Tabelle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1" l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01" i="1"/>
  <c r="H101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3" i="1"/>
  <c r="H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3" i="1"/>
</calcChain>
</file>

<file path=xl/sharedStrings.xml><?xml version="1.0" encoding="utf-8"?>
<sst xmlns="http://schemas.openxmlformats.org/spreadsheetml/2006/main" count="14" uniqueCount="12">
  <si>
    <t>LIBOR</t>
  </si>
  <si>
    <t>Sitzungsdaten</t>
  </si>
  <si>
    <t>Last Price Vor</t>
  </si>
  <si>
    <t>Last Price Nach</t>
  </si>
  <si>
    <t>close</t>
  </si>
  <si>
    <t>Jahr</t>
  </si>
  <si>
    <t>Zinsschock</t>
  </si>
  <si>
    <t>ABS</t>
  </si>
  <si>
    <t>SARON</t>
  </si>
  <si>
    <t>Gesamtergebnis</t>
  </si>
  <si>
    <t>Summe von Zinsschock</t>
  </si>
  <si>
    <t>Summe von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</si>
</sst>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via Glauser" refreshedDate="46034.680901041669" createdVersion="8" refreshedVersion="8" minRefreshableVersion="3" recordCount="117" xr:uid="{DF3685BD-EC54-974C-9E6F-AE61E394A623}">
  <cacheSource type="worksheet">
    <worksheetSource ref="A2:H119" sheet="Tabelle1"/>
  </cacheSource>
  <cacheFields count="8">
    <cacheField name="Sitzungsdaten" numFmtId="14">
      <sharedItems containsSemiMixedTypes="0" containsNonDate="0" containsDate="1" containsString="0" minDate="2000-01-20T00:00:00" maxDate="2025-09-26T00:00:00"/>
    </cacheField>
    <cacheField name="Last Price Vor" numFmtId="0">
      <sharedItems containsString="0" containsBlank="1" containsNumber="1" minValue="-0.88380000000000003" maxValue="3.5"/>
    </cacheField>
    <cacheField name="Last Price Nach" numFmtId="0">
      <sharedItems containsString="0" containsBlank="1" containsNumber="1" minValue="-0.85060000000000002" maxValue="3.4983300000000002"/>
    </cacheField>
    <cacheField name="close" numFmtId="0">
      <sharedItems containsString="0" containsBlank="1" containsNumber="1" minValue="-0.73250000000000004" maxValue="1.8788"/>
    </cacheField>
    <cacheField name="close2" numFmtId="0">
      <sharedItems containsString="0" containsBlank="1" containsNumber="1" minValue="-0.73250000000000004" maxValue="1.6975"/>
    </cacheField>
    <cacheField name="Jah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Zinsschock" numFmtId="0">
      <sharedItems containsSemiMixedTypes="0" containsString="0" containsNumber="1" minValue="-27.459999999999994" maxValue="39.75" count="83">
        <n v="2.0000000000000018"/>
        <n v="-1.1660000000000004"/>
        <n v="13.333000000000039"/>
        <n v="7.1660000000000057"/>
        <n v="9.8330000000000251"/>
        <n v="-1.1670000000000069"/>
        <n v="-0.16699999999998383"/>
        <n v="9.3329999999999913"/>
        <n v="1.6670000000000185"/>
        <n v="-16.666999999999987"/>
        <n v="0"/>
        <n v="-0.16599999999999948"/>
        <n v="0.83299999999999486"/>
        <n v="1.1669999999999958"/>
        <n v="-2.8329999999999966"/>
        <n v="1.9999999999999962"/>
        <n v="0.66700000000000093"/>
        <n v="-0.66700000000000093"/>
        <n v="10.833000000000004"/>
        <n v="1.8330000000000068"/>
        <n v="-4.166999999999998"/>
        <n v="0.50000000000000044"/>
        <n v="-8.833000000000002"/>
        <n v="2.3339999999999916"/>
        <n v="1.9999999999999796"/>
        <n v="1.8329999999999957"/>
        <n v="1.5829999999999789"/>
        <n v="0.16699999999998383"/>
        <n v="1.8330000000000179"/>
        <n v="-0.99999999999997868"/>
        <n v="-5.0000000000000266"/>
        <n v="14.166999999999996"/>
        <n v="5.0000000000000266"/>
        <n v="-3.499999999999992"/>
        <n v="-3.3339999999999925"/>
        <n v="-22.499999999999996"/>
        <n v="-0.50000000000000044"/>
        <n v="-8.4000000000000741E-2"/>
        <n v="0.16700000000000048"/>
        <n v="0.33299999999999996"/>
        <n v="-2.8329999999999993"/>
        <n v="-1.6669999999999998"/>
        <n v="-1"/>
        <n v="0.4"/>
        <n v="0.3"/>
        <n v="0.8"/>
        <n v="-2.1"/>
        <n v="-27.459999999999994"/>
        <n v="0.60000000000000053"/>
        <n v="0.40000000000000036"/>
        <n v="-0.30000000000000027"/>
        <n v="2.300000000000002"/>
        <n v="1.2000000000000011"/>
        <n v="-1.0399999999999965"/>
        <n v="-0.60000000000000053"/>
        <n v="-0.10000000000000009"/>
        <n v="-0.67499999999999227"/>
        <n v="0.33999999999999586"/>
        <n v="-0.20000000000000018"/>
        <n v="-0.18000000000000238"/>
        <n v="-3.9999999999995595E-2"/>
        <n v="1.7999999999999905"/>
        <n v="-5.9999999999993392E-2"/>
        <n v="3.3200000000000007"/>
        <n v="0.37999999999999146"/>
        <n v="0.56000000000000494"/>
        <n v="-1.9999999999997797E-2"/>
        <n v="-0.61999999999999833"/>
        <n v="0.25000000000000577"/>
        <n v="39.75"/>
        <n v="-21.000000000000004"/>
        <n v="3.8499999999999979"/>
        <n v="10.216999999999988"/>
        <n v="-14.314000000000004"/>
        <n v="-18.179999999999996"/>
        <n v="1.8699999999999939"/>
        <n v="-16.456999999999987"/>
        <n v="-9.375"/>
        <n v="8.7160000000000011"/>
        <n v="-16.274999999999995"/>
        <n v="-8.6750000000000025"/>
        <n v="4.5750000000000002"/>
        <n v="1.081"/>
      </sharedItems>
    </cacheField>
    <cacheField name="ABS" numFmtId="0">
      <sharedItems containsSemiMixedTypes="0" containsString="0" containsNumber="1" minValue="0" maxValue="39.75" count="78">
        <n v="2.0000000000000018"/>
        <n v="1.1660000000000004"/>
        <n v="13.333000000000039"/>
        <n v="7.1660000000000057"/>
        <n v="9.8330000000000251"/>
        <n v="1.1670000000000069"/>
        <n v="0.16699999999998383"/>
        <n v="9.3329999999999913"/>
        <n v="1.6670000000000185"/>
        <n v="16.666999999999987"/>
        <n v="0"/>
        <n v="0.16599999999999948"/>
        <n v="0.83299999999999486"/>
        <n v="1.1669999999999958"/>
        <n v="2.8329999999999966"/>
        <n v="1.9999999999999962"/>
        <n v="0.66700000000000093"/>
        <n v="10.833000000000004"/>
        <n v="1.8330000000000068"/>
        <n v="4.166999999999998"/>
        <n v="0.50000000000000044"/>
        <n v="8.833000000000002"/>
        <n v="2.3339999999999916"/>
        <n v="1.9999999999999796"/>
        <n v="1.8329999999999957"/>
        <n v="1.5829999999999789"/>
        <n v="1.8330000000000179"/>
        <n v="0.99999999999997868"/>
        <n v="5.0000000000000266"/>
        <n v="14.166999999999996"/>
        <n v="3.499999999999992"/>
        <n v="3.3339999999999925"/>
        <n v="22.499999999999996"/>
        <n v="8.4000000000000741E-2"/>
        <n v="0.16700000000000048"/>
        <n v="0.33299999999999996"/>
        <n v="2.8329999999999993"/>
        <n v="1.6669999999999998"/>
        <n v="1"/>
        <n v="0.4"/>
        <n v="0.3"/>
        <n v="0.8"/>
        <n v="2.1"/>
        <n v="27.459999999999994"/>
        <n v="0.60000000000000053"/>
        <n v="0.40000000000000036"/>
        <n v="0.30000000000000027"/>
        <n v="2.300000000000002"/>
        <n v="1.2000000000000011"/>
        <n v="1.0399999999999965"/>
        <n v="0.10000000000000009"/>
        <n v="0.67499999999999227"/>
        <n v="0.33999999999999586"/>
        <n v="0.20000000000000018"/>
        <n v="0.18000000000000238"/>
        <n v="3.9999999999995595E-2"/>
        <n v="1.7999999999999905"/>
        <n v="5.9999999999993392E-2"/>
        <n v="3.3200000000000007"/>
        <n v="0.37999999999999146"/>
        <n v="0.56000000000000494"/>
        <n v="1.9999999999997797E-2"/>
        <n v="0.61999999999999833"/>
        <n v="0.25000000000000577"/>
        <n v="39.75"/>
        <n v="21.000000000000004"/>
        <n v="3.8499999999999979"/>
        <n v="10.216999999999988"/>
        <n v="14.314000000000004"/>
        <n v="18.179999999999996"/>
        <n v="1.8699999999999939"/>
        <n v="16.456999999999987"/>
        <n v="9.375"/>
        <n v="8.7160000000000011"/>
        <n v="16.274999999999995"/>
        <n v="8.6750000000000025"/>
        <n v="4.5750000000000002"/>
        <n v="1.0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d v="2000-01-20T00:00:00"/>
    <n v="1.58"/>
    <n v="1.6"/>
    <m/>
    <m/>
    <x v="0"/>
    <x v="0"/>
    <x v="0"/>
  </r>
  <r>
    <d v="2000-02-03T00:00:00"/>
    <n v="2.06833"/>
    <n v="2.05667"/>
    <m/>
    <m/>
    <x v="0"/>
    <x v="1"/>
    <x v="1"/>
  </r>
  <r>
    <d v="2000-03-23T00:00:00"/>
    <n v="2.2116699999999998"/>
    <n v="2.3450000000000002"/>
    <m/>
    <m/>
    <x v="0"/>
    <x v="2"/>
    <x v="2"/>
  </r>
  <r>
    <d v="2000-06-15T00:00:00"/>
    <n v="3.0666699999999998"/>
    <n v="3.1383299999999998"/>
    <m/>
    <m/>
    <x v="0"/>
    <x v="3"/>
    <x v="3"/>
  </r>
  <r>
    <d v="2000-09-05T00:00:00"/>
    <n v="3.19"/>
    <n v="3.2883300000000002"/>
    <m/>
    <m/>
    <x v="0"/>
    <x v="4"/>
    <x v="4"/>
  </r>
  <r>
    <d v="2000-12-08T00:00:00"/>
    <n v="3.4566699999999999"/>
    <n v="3.4449999999999998"/>
    <m/>
    <m/>
    <x v="0"/>
    <x v="5"/>
    <x v="5"/>
  </r>
  <r>
    <d v="2001-03-22T00:00:00"/>
    <n v="3.5"/>
    <n v="3.4983300000000002"/>
    <m/>
    <m/>
    <x v="1"/>
    <x v="6"/>
    <x v="6"/>
  </r>
  <r>
    <d v="2001-06-14T00:00:00"/>
    <n v="3.2"/>
    <n v="3.2933300000000001"/>
    <m/>
    <m/>
    <x v="1"/>
    <x v="7"/>
    <x v="7"/>
  </r>
  <r>
    <d v="2002-03-21T00:00:00"/>
    <n v="1.66"/>
    <n v="1.6766700000000001"/>
    <m/>
    <m/>
    <x v="2"/>
    <x v="8"/>
    <x v="8"/>
  </r>
  <r>
    <d v="2002-05-02T00:00:00"/>
    <n v="1.45"/>
    <n v="1.2833300000000001"/>
    <m/>
    <m/>
    <x v="2"/>
    <x v="9"/>
    <x v="9"/>
  </r>
  <r>
    <d v="2002-06-14T00:00:00"/>
    <n v="1.2183299999999999"/>
    <n v="1.2183299999999999"/>
    <m/>
    <m/>
    <x v="2"/>
    <x v="10"/>
    <x v="10"/>
  </r>
  <r>
    <d v="2002-07-26T00:00:00"/>
    <n v="1.0533300000000001"/>
    <n v="1.0516700000000001"/>
    <m/>
    <m/>
    <x v="2"/>
    <x v="11"/>
    <x v="11"/>
  </r>
  <r>
    <d v="2002-09-19T00:00:00"/>
    <n v="0.70667000000000002"/>
    <n v="0.71499999999999997"/>
    <m/>
    <m/>
    <x v="2"/>
    <x v="12"/>
    <x v="12"/>
  </r>
  <r>
    <d v="2002-12-13T00:00:00"/>
    <n v="0.65500000000000003"/>
    <n v="0.66666999999999998"/>
    <m/>
    <m/>
    <x v="2"/>
    <x v="13"/>
    <x v="13"/>
  </r>
  <r>
    <d v="2003-03-06T00:00:00"/>
    <n v="0.57833000000000001"/>
    <n v="0.55000000000000004"/>
    <m/>
    <m/>
    <x v="3"/>
    <x v="14"/>
    <x v="14"/>
  </r>
  <r>
    <d v="2003-03-20T00:00:00"/>
    <n v="0.28000000000000003"/>
    <n v="0.3"/>
    <m/>
    <m/>
    <x v="3"/>
    <x v="15"/>
    <x v="15"/>
  </r>
  <r>
    <d v="2003-06-13T00:00:00"/>
    <n v="0.24833"/>
    <n v="0.255"/>
    <m/>
    <m/>
    <x v="3"/>
    <x v="16"/>
    <x v="16"/>
  </r>
  <r>
    <d v="2003-09-18T00:00:00"/>
    <n v="0.21667"/>
    <n v="0.21"/>
    <m/>
    <m/>
    <x v="3"/>
    <x v="17"/>
    <x v="16"/>
  </r>
  <r>
    <d v="2003-12-12T00:00:00"/>
    <n v="0.23"/>
    <n v="0.23"/>
    <m/>
    <m/>
    <x v="3"/>
    <x v="10"/>
    <x v="10"/>
  </r>
  <r>
    <d v="2004-03-18T00:00:00"/>
    <n v="0.21833"/>
    <n v="0.21667"/>
    <m/>
    <m/>
    <x v="4"/>
    <x v="11"/>
    <x v="11"/>
  </r>
  <r>
    <d v="2004-06-17T00:00:00"/>
    <n v="0.29166999999999998"/>
    <n v="0.4"/>
    <m/>
    <m/>
    <x v="4"/>
    <x v="18"/>
    <x v="17"/>
  </r>
  <r>
    <d v="2004-09-16T00:00:00"/>
    <n v="0.53166999999999998"/>
    <n v="0.55000000000000004"/>
    <m/>
    <m/>
    <x v="4"/>
    <x v="19"/>
    <x v="18"/>
  </r>
  <r>
    <d v="2004-12-16T00:00:00"/>
    <n v="0.75"/>
    <n v="0.70833000000000002"/>
    <m/>
    <m/>
    <x v="4"/>
    <x v="20"/>
    <x v="19"/>
  </r>
  <r>
    <d v="2005-03-17T00:00:00"/>
    <n v="0.72"/>
    <n v="0.72"/>
    <m/>
    <m/>
    <x v="5"/>
    <x v="10"/>
    <x v="10"/>
  </r>
  <r>
    <d v="2005-06-16T00:00:00"/>
    <n v="0.73"/>
    <n v="0.73"/>
    <m/>
    <m/>
    <x v="5"/>
    <x v="10"/>
    <x v="10"/>
  </r>
  <r>
    <d v="2005-09-15T00:00:00"/>
    <n v="0.73"/>
    <n v="0.73499999999999999"/>
    <m/>
    <m/>
    <x v="5"/>
    <x v="21"/>
    <x v="20"/>
  </r>
  <r>
    <d v="2005-12-15T00:00:00"/>
    <n v="1.02"/>
    <n v="0.93167"/>
    <m/>
    <m/>
    <x v="5"/>
    <x v="22"/>
    <x v="21"/>
  </r>
  <r>
    <d v="2006-03-16T00:00:00"/>
    <n v="1.07833"/>
    <n v="1.1016699999999999"/>
    <m/>
    <m/>
    <x v="6"/>
    <x v="23"/>
    <x v="22"/>
  </r>
  <r>
    <d v="2006-06-15T00:00:00"/>
    <n v="1.37"/>
    <n v="1.39"/>
    <m/>
    <m/>
    <x v="6"/>
    <x v="24"/>
    <x v="23"/>
  </r>
  <r>
    <d v="2006-09-14T00:00:00"/>
    <n v="1.62"/>
    <n v="1.64"/>
    <m/>
    <m/>
    <x v="6"/>
    <x v="24"/>
    <x v="23"/>
  </r>
  <r>
    <d v="2006-12-14T00:00:00"/>
    <n v="1.94"/>
    <n v="1.9583299999999999"/>
    <m/>
    <m/>
    <x v="6"/>
    <x v="25"/>
    <x v="24"/>
  </r>
  <r>
    <d v="2007-03-15T00:00:00"/>
    <n v="2.2200000000000002"/>
    <n v="2.23583"/>
    <m/>
    <m/>
    <x v="7"/>
    <x v="26"/>
    <x v="25"/>
  </r>
  <r>
    <d v="2007-06-14T00:00:00"/>
    <n v="2.42"/>
    <n v="2.4183300000000001"/>
    <m/>
    <m/>
    <x v="7"/>
    <x v="6"/>
    <x v="6"/>
  </r>
  <r>
    <d v="2007-09-13T00:00:00"/>
    <n v="2.7083300000000001"/>
    <n v="2.71"/>
    <m/>
    <m/>
    <x v="7"/>
    <x v="27"/>
    <x v="6"/>
  </r>
  <r>
    <d v="2007-12-13T00:00:00"/>
    <n v="2.7316699999999998"/>
    <n v="2.75"/>
    <m/>
    <m/>
    <x v="7"/>
    <x v="28"/>
    <x v="26"/>
  </r>
  <r>
    <d v="2008-03-13T00:00:00"/>
    <n v="2.56833"/>
    <n v="2.5583300000000002"/>
    <m/>
    <m/>
    <x v="8"/>
    <x v="29"/>
    <x v="27"/>
  </r>
  <r>
    <d v="2008-06-19T00:00:00"/>
    <n v="2.4750000000000001"/>
    <n v="2.4249999999999998"/>
    <m/>
    <m/>
    <x v="8"/>
    <x v="30"/>
    <x v="28"/>
  </r>
  <r>
    <d v="2008-09-18T00:00:00"/>
    <n v="2.35"/>
    <n v="2.4916700000000001"/>
    <m/>
    <m/>
    <x v="8"/>
    <x v="31"/>
    <x v="29"/>
  </r>
  <r>
    <d v="2008-10-08T00:00:00"/>
    <n v="2.9249999999999998"/>
    <n v="2.9750000000000001"/>
    <m/>
    <m/>
    <x v="8"/>
    <x v="32"/>
    <x v="28"/>
  </r>
  <r>
    <d v="2008-11-06T00:00:00"/>
    <n v="1.69"/>
    <n v="1.655"/>
    <m/>
    <m/>
    <x v="8"/>
    <x v="33"/>
    <x v="30"/>
  </r>
  <r>
    <d v="2008-11-20T00:00:00"/>
    <n v="1.02667"/>
    <n v="0.99333000000000005"/>
    <m/>
    <m/>
    <x v="8"/>
    <x v="34"/>
    <x v="31"/>
  </r>
  <r>
    <d v="2008-12-11T00:00:00"/>
    <n v="0.7"/>
    <n v="0.47499999999999998"/>
    <m/>
    <m/>
    <x v="8"/>
    <x v="35"/>
    <x v="32"/>
  </r>
  <r>
    <d v="2009-03-12T00:00:00"/>
    <n v="0.27833000000000002"/>
    <n v="0.27333000000000002"/>
    <m/>
    <m/>
    <x v="9"/>
    <x v="36"/>
    <x v="20"/>
  </r>
  <r>
    <d v="2009-06-18T00:00:00"/>
    <n v="0.19917000000000001"/>
    <n v="0.19833000000000001"/>
    <m/>
    <m/>
    <x v="9"/>
    <x v="37"/>
    <x v="33"/>
  </r>
  <r>
    <d v="2009-09-17T00:00:00"/>
    <n v="0.105"/>
    <n v="0.105"/>
    <m/>
    <m/>
    <x v="9"/>
    <x v="10"/>
    <x v="10"/>
  </r>
  <r>
    <d v="2009-12-10T00:00:00"/>
    <n v="0.11333"/>
    <n v="0.11333"/>
    <m/>
    <m/>
    <x v="9"/>
    <x v="10"/>
    <x v="10"/>
  </r>
  <r>
    <d v="2010-03-11T00:00:00"/>
    <n v="9.3329999999999996E-2"/>
    <n v="9.3329999999999996E-2"/>
    <m/>
    <m/>
    <x v="10"/>
    <x v="10"/>
    <x v="10"/>
  </r>
  <r>
    <d v="2010-06-17T00:00:00"/>
    <n v="4.8329999999999998E-2"/>
    <n v="0.05"/>
    <m/>
    <m/>
    <x v="10"/>
    <x v="38"/>
    <x v="34"/>
  </r>
  <r>
    <d v="2010-09-16T00:00:00"/>
    <n v="0.15"/>
    <n v="0.15332999999999999"/>
    <m/>
    <m/>
    <x v="10"/>
    <x v="39"/>
    <x v="35"/>
  </r>
  <r>
    <d v="2010-12-16T00:00:00"/>
    <n v="0.14000000000000001"/>
    <n v="0.14000000000000001"/>
    <m/>
    <m/>
    <x v="10"/>
    <x v="10"/>
    <x v="10"/>
  </r>
  <r>
    <d v="2011-03-17T00:00:00"/>
    <n v="0.13667000000000001"/>
    <n v="0.13667000000000001"/>
    <m/>
    <m/>
    <x v="11"/>
    <x v="10"/>
    <x v="10"/>
  </r>
  <r>
    <d v="2011-06-16T00:00:00"/>
    <n v="0.12833"/>
    <n v="0.12833"/>
    <m/>
    <m/>
    <x v="11"/>
    <x v="10"/>
    <x v="10"/>
  </r>
  <r>
    <d v="2011-08-03T00:00:00"/>
    <n v="0.12583"/>
    <n v="9.7500000000000003E-2"/>
    <m/>
    <m/>
    <x v="11"/>
    <x v="40"/>
    <x v="36"/>
  </r>
  <r>
    <d v="2011-08-10T00:00:00"/>
    <n v="0.06"/>
    <n v="4.333E-2"/>
    <m/>
    <m/>
    <x v="11"/>
    <x v="41"/>
    <x v="37"/>
  </r>
  <r>
    <d v="2011-08-17T00:00:00"/>
    <n v="1.917E-2"/>
    <n v="9.1699999999999993E-3"/>
    <m/>
    <m/>
    <x v="11"/>
    <x v="42"/>
    <x v="38"/>
  </r>
  <r>
    <d v="2011-09-06T00:00:00"/>
    <n v="0"/>
    <n v="0"/>
    <m/>
    <m/>
    <x v="11"/>
    <x v="10"/>
    <x v="10"/>
  </r>
  <r>
    <d v="2011-09-15T00:00:00"/>
    <n v="0"/>
    <n v="0"/>
    <m/>
    <m/>
    <x v="11"/>
    <x v="10"/>
    <x v="10"/>
  </r>
  <r>
    <d v="2011-12-15T00:00:00"/>
    <n v="3.1669999999999997E-2"/>
    <n v="3.1669999999999997E-2"/>
    <m/>
    <m/>
    <x v="11"/>
    <x v="10"/>
    <x v="10"/>
  </r>
  <r>
    <d v="2012-03-15T00:00:00"/>
    <n v="7.2499999999999995E-2"/>
    <n v="7.417E-2"/>
    <m/>
    <m/>
    <x v="12"/>
    <x v="38"/>
    <x v="34"/>
  </r>
  <r>
    <d v="2012-06-14T00:00:00"/>
    <n v="4.0829999999999998E-2"/>
    <n v="3.9170000000000003E-2"/>
    <m/>
    <m/>
    <x v="12"/>
    <x v="11"/>
    <x v="11"/>
  </r>
  <r>
    <d v="2012-09-13T00:00:00"/>
    <n v="1.0999999999999999E-2"/>
    <n v="1.0999999999999999E-2"/>
    <m/>
    <m/>
    <x v="12"/>
    <x v="10"/>
    <x v="10"/>
  </r>
  <r>
    <d v="2012-12-13T00:00:00"/>
    <n v="-8.0000000000000002E-3"/>
    <n v="-8.0000000000000002E-3"/>
    <m/>
    <m/>
    <x v="12"/>
    <x v="10"/>
    <x v="10"/>
  </r>
  <r>
    <d v="2013-03-14T00:00:00"/>
    <n v="-1E-3"/>
    <n v="-1E-3"/>
    <m/>
    <m/>
    <x v="13"/>
    <x v="10"/>
    <x v="10"/>
  </r>
  <r>
    <d v="2013-06-20T00:00:00"/>
    <n v="-3.0000000000000001E-3"/>
    <n v="-3.0000000000000001E-3"/>
    <m/>
    <m/>
    <x v="13"/>
    <x v="10"/>
    <x v="10"/>
  </r>
  <r>
    <d v="2013-09-19T00:00:00"/>
    <n v="-3.0000000000000001E-3"/>
    <n v="-3.0000000000000001E-3"/>
    <m/>
    <m/>
    <x v="13"/>
    <x v="10"/>
    <x v="10"/>
  </r>
  <r>
    <d v="2013-12-12T00:00:00"/>
    <n v="-5.0000000000000001E-3"/>
    <n v="-5.0000000000000001E-3"/>
    <m/>
    <m/>
    <x v="13"/>
    <x v="10"/>
    <x v="10"/>
  </r>
  <r>
    <d v="2014-03-20T00:00:00"/>
    <n v="-7.0000000000000001E-3"/>
    <n v="-7.0000000000000001E-3"/>
    <m/>
    <m/>
    <x v="14"/>
    <x v="10"/>
    <x v="10"/>
  </r>
  <r>
    <d v="2014-06-19T00:00:00"/>
    <n v="-7.0000000000000001E-3"/>
    <n v="-3.0000000000000001E-3"/>
    <m/>
    <m/>
    <x v="14"/>
    <x v="43"/>
    <x v="39"/>
  </r>
  <r>
    <d v="2014-09-18T00:00:00"/>
    <n v="-4.0000000000000001E-3"/>
    <n v="-1E-3"/>
    <m/>
    <m/>
    <x v="14"/>
    <x v="44"/>
    <x v="40"/>
  </r>
  <r>
    <d v="2014-12-11T00:00:00"/>
    <n v="-1.0999999999999999E-2"/>
    <n v="-3.0000000000000001E-3"/>
    <m/>
    <m/>
    <x v="14"/>
    <x v="45"/>
    <x v="41"/>
  </r>
  <r>
    <d v="2014-12-18T00:00:00"/>
    <n v="-3.0000000000000001E-3"/>
    <n v="-2.4E-2"/>
    <m/>
    <m/>
    <x v="14"/>
    <x v="46"/>
    <x v="42"/>
  </r>
  <r>
    <d v="2015-01-15T00:00:00"/>
    <n v="-9.9000000000000005E-2"/>
    <n v="-0.37359999999999999"/>
    <m/>
    <m/>
    <x v="15"/>
    <x v="47"/>
    <x v="43"/>
  </r>
  <r>
    <d v="2015-03-19T00:00:00"/>
    <n v="-0.84099999999999997"/>
    <n v="-0.83499999999999996"/>
    <m/>
    <m/>
    <x v="15"/>
    <x v="48"/>
    <x v="44"/>
  </r>
  <r>
    <d v="2015-06-18T00:00:00"/>
    <n v="-0.82499999999999996"/>
    <n v="-0.82099999999999995"/>
    <m/>
    <m/>
    <x v="15"/>
    <x v="49"/>
    <x v="45"/>
  </r>
  <r>
    <d v="2015-09-17T00:00:00"/>
    <n v="-0.79700000000000004"/>
    <n v="-0.8"/>
    <m/>
    <m/>
    <x v="15"/>
    <x v="50"/>
    <x v="46"/>
  </r>
  <r>
    <d v="2015-12-10T00:00:00"/>
    <n v="-0.83899999999999997"/>
    <n v="-0.81599999999999995"/>
    <m/>
    <m/>
    <x v="15"/>
    <x v="51"/>
    <x v="47"/>
  </r>
  <r>
    <d v="2016-03-17T00:00:00"/>
    <n v="-0.79559999999999997"/>
    <n v="-0.78359999999999996"/>
    <m/>
    <m/>
    <x v="16"/>
    <x v="52"/>
    <x v="48"/>
  </r>
  <r>
    <d v="2016-06-16T00:00:00"/>
    <n v="-0.82020000000000004"/>
    <n v="-0.8306"/>
    <m/>
    <m/>
    <x v="16"/>
    <x v="53"/>
    <x v="49"/>
  </r>
  <r>
    <d v="2016-09-15T00:00:00"/>
    <n v="-0.79979999999999996"/>
    <n v="-0.79979999999999996"/>
    <m/>
    <m/>
    <x v="16"/>
    <x v="10"/>
    <x v="10"/>
  </r>
  <r>
    <d v="2016-12-15T00:00:00"/>
    <n v="-0.82079999999999997"/>
    <n v="-0.82679999999999998"/>
    <m/>
    <m/>
    <x v="16"/>
    <x v="54"/>
    <x v="44"/>
  </r>
  <r>
    <d v="2017-03-16T00:00:00"/>
    <n v="-0.79600000000000004"/>
    <n v="-0.79700000000000004"/>
    <m/>
    <m/>
    <x v="17"/>
    <x v="55"/>
    <x v="50"/>
  </r>
  <r>
    <d v="2017-06-15T00:00:00"/>
    <n v="-0.78759999999999997"/>
    <n v="-0.78759999999999997"/>
    <m/>
    <m/>
    <x v="17"/>
    <x v="10"/>
    <x v="10"/>
  </r>
  <r>
    <d v="2017-09-14T00:00:00"/>
    <n v="-0.78500000000000003"/>
    <n v="-0.78500000000000003"/>
    <m/>
    <m/>
    <x v="17"/>
    <x v="10"/>
    <x v="10"/>
  </r>
  <r>
    <d v="2017-12-14T00:00:00"/>
    <n v="-0.82430000000000003"/>
    <n v="-0.83104999999999996"/>
    <m/>
    <m/>
    <x v="17"/>
    <x v="56"/>
    <x v="51"/>
  </r>
  <r>
    <d v="2018-03-15T00:00:00"/>
    <n v="-0.81145"/>
    <n v="-0.81145"/>
    <m/>
    <m/>
    <x v="18"/>
    <x v="10"/>
    <x v="10"/>
  </r>
  <r>
    <d v="2018-06-21T00:00:00"/>
    <n v="-0.78539999999999999"/>
    <n v="-0.78200000000000003"/>
    <m/>
    <m/>
    <x v="18"/>
    <x v="57"/>
    <x v="52"/>
  </r>
  <r>
    <d v="2018-09-20T00:00:00"/>
    <n v="-0.78080000000000005"/>
    <n v="-0.78280000000000005"/>
    <m/>
    <m/>
    <x v="18"/>
    <x v="58"/>
    <x v="53"/>
  </r>
  <r>
    <d v="2018-12-13T00:00:00"/>
    <n v="-0.8226"/>
    <n v="-0.82440000000000002"/>
    <m/>
    <m/>
    <x v="18"/>
    <x v="59"/>
    <x v="54"/>
  </r>
  <r>
    <d v="2019-03-21T00:00:00"/>
    <n v="-0.78520000000000001"/>
    <n v="-0.78620000000000001"/>
    <m/>
    <m/>
    <x v="19"/>
    <x v="55"/>
    <x v="50"/>
  </r>
  <r>
    <d v="2019-06-13T00:00:00"/>
    <n v="-0.80100000000000005"/>
    <n v="-0.8014"/>
    <m/>
    <m/>
    <x v="19"/>
    <x v="60"/>
    <x v="55"/>
  </r>
  <r>
    <d v="2019-09-19T00:00:00"/>
    <n v="-0.85219999999999996"/>
    <n v="-0.83420000000000005"/>
    <m/>
    <m/>
    <x v="19"/>
    <x v="61"/>
    <x v="56"/>
  </r>
  <r>
    <d v="2019-12-12T00:00:00"/>
    <n v="-0.82120000000000004"/>
    <n v="-0.82179999999999997"/>
    <m/>
    <m/>
    <x v="19"/>
    <x v="62"/>
    <x v="57"/>
  </r>
  <r>
    <d v="2020-03-19T00:00:00"/>
    <n v="-0.88380000000000003"/>
    <n v="-0.85060000000000002"/>
    <m/>
    <m/>
    <x v="20"/>
    <x v="63"/>
    <x v="58"/>
  </r>
  <r>
    <d v="2020-03-25T00:00:00"/>
    <n v="-0.80679999999999996"/>
    <n v="-0.80300000000000005"/>
    <m/>
    <m/>
    <x v="20"/>
    <x v="64"/>
    <x v="59"/>
  </r>
  <r>
    <d v="2020-05-11T00:00:00"/>
    <m/>
    <m/>
    <m/>
    <m/>
    <x v="20"/>
    <x v="10"/>
    <x v="10"/>
  </r>
  <r>
    <d v="2020-06-18T00:00:00"/>
    <n v="-0.7732"/>
    <n v="-0.76759999999999995"/>
    <m/>
    <m/>
    <x v="20"/>
    <x v="65"/>
    <x v="60"/>
  </r>
  <r>
    <d v="2020-09-24T00:00:00"/>
    <n v="-0.80659999999999998"/>
    <n v="-0.80679999999999996"/>
    <m/>
    <m/>
    <x v="20"/>
    <x v="66"/>
    <x v="61"/>
  </r>
  <r>
    <d v="2020-12-17T00:00:00"/>
    <n v="-0.83499999999999996"/>
    <n v="-0.84119999999999995"/>
    <n v="-0.73250000000000004"/>
    <n v="-0.73250000000000004"/>
    <x v="20"/>
    <x v="67"/>
    <x v="62"/>
  </r>
  <r>
    <d v="2021-03-25T00:00:00"/>
    <m/>
    <m/>
    <n v="-0.72750000000000004"/>
    <n v="-0.72750000000000004"/>
    <x v="21"/>
    <x v="10"/>
    <x v="10"/>
  </r>
  <r>
    <d v="2021-06-17T00:00:00"/>
    <m/>
    <m/>
    <n v="-0.73"/>
    <n v="-0.73"/>
    <x v="21"/>
    <x v="10"/>
    <x v="10"/>
  </r>
  <r>
    <d v="2021-09-23T00:00:00"/>
    <m/>
    <m/>
    <n v="-0.72"/>
    <n v="-0.72"/>
    <x v="21"/>
    <x v="10"/>
    <x v="10"/>
  </r>
  <r>
    <d v="2021-12-16T00:00:00"/>
    <m/>
    <m/>
    <n v="-0.72750000000000004"/>
    <n v="-0.72499999999999998"/>
    <x v="21"/>
    <x v="68"/>
    <x v="63"/>
  </r>
  <r>
    <d v="2022-03-24T00:00:00"/>
    <m/>
    <m/>
    <n v="-0.71"/>
    <n v="-0.71"/>
    <x v="22"/>
    <x v="10"/>
    <x v="10"/>
  </r>
  <r>
    <d v="2022-06-16T00:00:00"/>
    <m/>
    <m/>
    <n v="-0.61499999999999999"/>
    <n v="-0.2175"/>
    <x v="22"/>
    <x v="69"/>
    <x v="64"/>
  </r>
  <r>
    <d v="2022-09-22T00:00:00"/>
    <m/>
    <m/>
    <n v="0.64500000000000002"/>
    <n v="0.435"/>
    <x v="22"/>
    <x v="70"/>
    <x v="65"/>
  </r>
  <r>
    <d v="2022-12-15T00:00:00"/>
    <m/>
    <m/>
    <n v="0.89800000000000002"/>
    <n v="0.9365"/>
    <x v="22"/>
    <x v="71"/>
    <x v="66"/>
  </r>
  <r>
    <d v="2023-03-23T00:00:00"/>
    <m/>
    <m/>
    <n v="1.3075000000000001"/>
    <n v="1.40967"/>
    <x v="23"/>
    <x v="72"/>
    <x v="67"/>
  </r>
  <r>
    <d v="2023-06-22T00:00:00"/>
    <m/>
    <m/>
    <n v="1.8406400000000001"/>
    <n v="1.6975"/>
    <x v="23"/>
    <x v="73"/>
    <x v="68"/>
  </r>
  <r>
    <d v="2023-09-21T00:00:00"/>
    <m/>
    <m/>
    <n v="1.8788"/>
    <n v="1.6970000000000001"/>
    <x v="23"/>
    <x v="74"/>
    <x v="69"/>
  </r>
  <r>
    <d v="2023-12-14T00:00:00"/>
    <m/>
    <m/>
    <n v="1.6613"/>
    <n v="1.68"/>
    <x v="23"/>
    <x v="75"/>
    <x v="70"/>
  </r>
  <r>
    <d v="2024-03-21T00:00:00"/>
    <m/>
    <m/>
    <n v="1.6034999999999999"/>
    <n v="1.43893"/>
    <x v="24"/>
    <x v="76"/>
    <x v="71"/>
  </r>
  <r>
    <d v="2024-06-20T00:00:00"/>
    <m/>
    <m/>
    <n v="1.2875000000000001"/>
    <n v="1.1937500000000001"/>
    <x v="24"/>
    <x v="77"/>
    <x v="72"/>
  </r>
  <r>
    <d v="2024-09-26T00:00:00"/>
    <m/>
    <m/>
    <n v="0.85511000000000004"/>
    <n v="0.94227000000000005"/>
    <x v="24"/>
    <x v="78"/>
    <x v="73"/>
  </r>
  <r>
    <d v="2024-12-12T00:00:00"/>
    <m/>
    <m/>
    <n v="0.60524999999999995"/>
    <n v="0.4425"/>
    <x v="24"/>
    <x v="79"/>
    <x v="74"/>
  </r>
  <r>
    <d v="2025-03-20T00:00:00"/>
    <m/>
    <m/>
    <n v="0.27250000000000002"/>
    <n v="0.18575"/>
    <x v="25"/>
    <x v="80"/>
    <x v="75"/>
  </r>
  <r>
    <d v="2025-06-19T00:00:00"/>
    <m/>
    <m/>
    <n v="-0.10575"/>
    <n v="-0.06"/>
    <x v="25"/>
    <x v="81"/>
    <x v="76"/>
  </r>
  <r>
    <d v="2025-09-25T00:00:00"/>
    <m/>
    <m/>
    <n v="-5.2060000000000002E-2"/>
    <n v="-4.1250000000000002E-2"/>
    <x v="25"/>
    <x v="82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E5F9A-2FF2-FA43-9AAD-9D09DE235EDE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Jahr">
  <location ref="A3:C30" firstHeaderRow="0" firstDataRow="1" firstDataCol="1"/>
  <pivotFields count="8">
    <pivotField numFmtId="14"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>
      <items count="84">
        <item x="47"/>
        <item x="35"/>
        <item x="70"/>
        <item x="74"/>
        <item x="9"/>
        <item x="76"/>
        <item x="79"/>
        <item x="73"/>
        <item x="77"/>
        <item x="22"/>
        <item x="80"/>
        <item x="30"/>
        <item x="20"/>
        <item x="33"/>
        <item x="34"/>
        <item x="40"/>
        <item x="14"/>
        <item x="46"/>
        <item x="41"/>
        <item x="5"/>
        <item x="1"/>
        <item x="53"/>
        <item x="42"/>
        <item x="29"/>
        <item x="56"/>
        <item x="17"/>
        <item x="67"/>
        <item x="54"/>
        <item x="36"/>
        <item x="50"/>
        <item x="58"/>
        <item x="59"/>
        <item x="6"/>
        <item x="11"/>
        <item x="55"/>
        <item x="37"/>
        <item x="62"/>
        <item x="60"/>
        <item x="66"/>
        <item x="10"/>
        <item x="27"/>
        <item x="38"/>
        <item x="68"/>
        <item x="44"/>
        <item x="39"/>
        <item x="57"/>
        <item x="64"/>
        <item x="43"/>
        <item x="49"/>
        <item x="21"/>
        <item x="65"/>
        <item x="48"/>
        <item x="16"/>
        <item x="45"/>
        <item x="12"/>
        <item x="82"/>
        <item x="13"/>
        <item x="52"/>
        <item x="26"/>
        <item x="8"/>
        <item x="61"/>
        <item x="25"/>
        <item x="19"/>
        <item x="28"/>
        <item x="75"/>
        <item x="24"/>
        <item x="15"/>
        <item x="0"/>
        <item x="51"/>
        <item x="23"/>
        <item x="63"/>
        <item x="71"/>
        <item x="81"/>
        <item x="32"/>
        <item x="3"/>
        <item x="78"/>
        <item x="7"/>
        <item x="4"/>
        <item x="72"/>
        <item x="18"/>
        <item x="2"/>
        <item x="31"/>
        <item x="69"/>
        <item t="default"/>
      </items>
    </pivotField>
    <pivotField dataField="1" showAll="0">
      <items count="79">
        <item x="10"/>
        <item x="61"/>
        <item x="55"/>
        <item x="57"/>
        <item x="33"/>
        <item x="50"/>
        <item x="11"/>
        <item x="6"/>
        <item x="34"/>
        <item x="54"/>
        <item x="53"/>
        <item x="63"/>
        <item x="40"/>
        <item x="46"/>
        <item x="35"/>
        <item x="52"/>
        <item x="59"/>
        <item x="39"/>
        <item x="45"/>
        <item x="20"/>
        <item x="60"/>
        <item x="44"/>
        <item x="62"/>
        <item x="16"/>
        <item x="51"/>
        <item x="41"/>
        <item x="12"/>
        <item x="27"/>
        <item x="38"/>
        <item x="49"/>
        <item x="77"/>
        <item x="1"/>
        <item x="13"/>
        <item x="5"/>
        <item x="48"/>
        <item x="25"/>
        <item x="37"/>
        <item x="8"/>
        <item x="56"/>
        <item x="24"/>
        <item x="18"/>
        <item x="26"/>
        <item x="70"/>
        <item x="23"/>
        <item x="15"/>
        <item x="0"/>
        <item x="42"/>
        <item x="47"/>
        <item x="22"/>
        <item x="14"/>
        <item x="36"/>
        <item x="58"/>
        <item x="31"/>
        <item x="30"/>
        <item x="66"/>
        <item x="19"/>
        <item x="76"/>
        <item x="28"/>
        <item x="3"/>
        <item x="75"/>
        <item x="73"/>
        <item x="21"/>
        <item x="7"/>
        <item x="72"/>
        <item x="4"/>
        <item x="67"/>
        <item x="17"/>
        <item x="2"/>
        <item x="29"/>
        <item x="68"/>
        <item x="74"/>
        <item x="71"/>
        <item x="9"/>
        <item x="69"/>
        <item x="65"/>
        <item x="32"/>
        <item x="43"/>
        <item x="64"/>
        <item t="default"/>
      </items>
    </pivotField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Zinsschock" fld="6" baseField="0" baseItem="0"/>
    <dataField name="Summe von AB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0F25-7EB2-2945-A052-505C73AB1953}">
  <dimension ref="A1:H119"/>
  <sheetViews>
    <sheetView topLeftCell="A10" zoomScale="85" workbookViewId="0">
      <selection activeCell="J108" sqref="J108"/>
    </sheetView>
  </sheetViews>
  <sheetFormatPr baseColWidth="10" defaultRowHeight="16" x14ac:dyDescent="0.2"/>
  <cols>
    <col min="34" max="34" width="14" customWidth="1"/>
    <col min="35" max="35" width="13.83203125" customWidth="1"/>
  </cols>
  <sheetData>
    <row r="1" spans="1:8" x14ac:dyDescent="0.2">
      <c r="B1" t="s">
        <v>0</v>
      </c>
      <c r="D1" t="s">
        <v>8</v>
      </c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36545</v>
      </c>
      <c r="B3">
        <v>1.58</v>
      </c>
      <c r="C3">
        <v>1.6</v>
      </c>
      <c r="F3">
        <f>YEAR(A3)</f>
        <v>2000</v>
      </c>
      <c r="G3">
        <f>(C3-B3)*100</f>
        <v>2.0000000000000018</v>
      </c>
      <c r="H3">
        <f>ABS(G3)</f>
        <v>2.0000000000000018</v>
      </c>
    </row>
    <row r="4" spans="1:8" x14ac:dyDescent="0.2">
      <c r="A4" s="1">
        <v>36559</v>
      </c>
      <c r="B4">
        <v>2.06833</v>
      </c>
      <c r="C4">
        <v>2.05667</v>
      </c>
      <c r="F4">
        <f>YEAR(A4)</f>
        <v>2000</v>
      </c>
      <c r="G4">
        <f>(C4-B4)*100</f>
        <v>-1.1660000000000004</v>
      </c>
      <c r="H4">
        <f>ABS(G4)</f>
        <v>1.1660000000000004</v>
      </c>
    </row>
    <row r="5" spans="1:8" x14ac:dyDescent="0.2">
      <c r="A5" s="1">
        <v>36608</v>
      </c>
      <c r="B5">
        <v>2.2116699999999998</v>
      </c>
      <c r="C5">
        <v>2.3450000000000002</v>
      </c>
      <c r="F5">
        <f>YEAR(A5)</f>
        <v>2000</v>
      </c>
      <c r="G5">
        <f>(C5-B5)*100</f>
        <v>13.333000000000039</v>
      </c>
      <c r="H5">
        <f>ABS(G5)</f>
        <v>13.333000000000039</v>
      </c>
    </row>
    <row r="6" spans="1:8" x14ac:dyDescent="0.2">
      <c r="A6" s="1">
        <v>36692</v>
      </c>
      <c r="B6">
        <v>3.0666699999999998</v>
      </c>
      <c r="C6">
        <v>3.1383299999999998</v>
      </c>
      <c r="F6">
        <f>YEAR(A6)</f>
        <v>2000</v>
      </c>
      <c r="G6">
        <f>(C6-B6)*100</f>
        <v>7.1660000000000057</v>
      </c>
      <c r="H6">
        <f>ABS(G6)</f>
        <v>7.1660000000000057</v>
      </c>
    </row>
    <row r="7" spans="1:8" x14ac:dyDescent="0.2">
      <c r="A7" s="1">
        <v>36774</v>
      </c>
      <c r="B7">
        <v>3.19</v>
      </c>
      <c r="C7">
        <v>3.2883300000000002</v>
      </c>
      <c r="F7">
        <f>YEAR(A7)</f>
        <v>2000</v>
      </c>
      <c r="G7">
        <f>(C7-B7)*100</f>
        <v>9.8330000000000251</v>
      </c>
      <c r="H7">
        <f>ABS(G7)</f>
        <v>9.8330000000000251</v>
      </c>
    </row>
    <row r="8" spans="1:8" x14ac:dyDescent="0.2">
      <c r="A8" s="1">
        <v>36868</v>
      </c>
      <c r="B8">
        <v>3.4566699999999999</v>
      </c>
      <c r="C8">
        <v>3.4449999999999998</v>
      </c>
      <c r="F8">
        <f>YEAR(A8)</f>
        <v>2000</v>
      </c>
      <c r="G8">
        <f>(C8-B8)*100</f>
        <v>-1.1670000000000069</v>
      </c>
      <c r="H8">
        <f>ABS(G8)</f>
        <v>1.1670000000000069</v>
      </c>
    </row>
    <row r="9" spans="1:8" x14ac:dyDescent="0.2">
      <c r="A9" s="1">
        <v>36972</v>
      </c>
      <c r="B9">
        <v>3.5</v>
      </c>
      <c r="C9">
        <v>3.4983300000000002</v>
      </c>
      <c r="F9">
        <f>YEAR(A9)</f>
        <v>2001</v>
      </c>
      <c r="G9">
        <f>(C9-B9)*100</f>
        <v>-0.16699999999998383</v>
      </c>
      <c r="H9">
        <f>ABS(G9)</f>
        <v>0.16699999999998383</v>
      </c>
    </row>
    <row r="10" spans="1:8" x14ac:dyDescent="0.2">
      <c r="A10" s="1">
        <v>37056</v>
      </c>
      <c r="B10">
        <v>3.2</v>
      </c>
      <c r="C10">
        <v>3.2933300000000001</v>
      </c>
      <c r="F10">
        <f>YEAR(A10)</f>
        <v>2001</v>
      </c>
      <c r="G10">
        <f>(C10-B10)*100</f>
        <v>9.3329999999999913</v>
      </c>
      <c r="H10">
        <f>ABS(G10)</f>
        <v>9.3329999999999913</v>
      </c>
    </row>
    <row r="11" spans="1:8" x14ac:dyDescent="0.2">
      <c r="A11" s="1">
        <v>37336</v>
      </c>
      <c r="B11">
        <v>1.66</v>
      </c>
      <c r="C11">
        <v>1.6766700000000001</v>
      </c>
      <c r="F11">
        <f>YEAR(A11)</f>
        <v>2002</v>
      </c>
      <c r="G11">
        <f>(C11-B11)*100</f>
        <v>1.6670000000000185</v>
      </c>
      <c r="H11">
        <f>ABS(G11)</f>
        <v>1.6670000000000185</v>
      </c>
    </row>
    <row r="12" spans="1:8" x14ac:dyDescent="0.2">
      <c r="A12" s="1">
        <v>37378</v>
      </c>
      <c r="B12">
        <v>1.45</v>
      </c>
      <c r="C12">
        <v>1.2833300000000001</v>
      </c>
      <c r="F12">
        <f>YEAR(A12)</f>
        <v>2002</v>
      </c>
      <c r="G12">
        <f>(C12-B12)*100</f>
        <v>-16.666999999999987</v>
      </c>
      <c r="H12">
        <f>ABS(G12)</f>
        <v>16.666999999999987</v>
      </c>
    </row>
    <row r="13" spans="1:8" x14ac:dyDescent="0.2">
      <c r="A13" s="1">
        <v>37421</v>
      </c>
      <c r="B13">
        <v>1.2183299999999999</v>
      </c>
      <c r="C13">
        <v>1.2183299999999999</v>
      </c>
      <c r="F13">
        <f>YEAR(A13)</f>
        <v>2002</v>
      </c>
      <c r="G13">
        <f>(C13-B13)*100</f>
        <v>0</v>
      </c>
      <c r="H13">
        <f>ABS(G13)</f>
        <v>0</v>
      </c>
    </row>
    <row r="14" spans="1:8" x14ac:dyDescent="0.2">
      <c r="A14" s="1">
        <v>37463</v>
      </c>
      <c r="B14">
        <v>1.0533300000000001</v>
      </c>
      <c r="C14">
        <v>1.0516700000000001</v>
      </c>
      <c r="F14">
        <f>YEAR(A14)</f>
        <v>2002</v>
      </c>
      <c r="G14">
        <f>(C14-B14)*100</f>
        <v>-0.16599999999999948</v>
      </c>
      <c r="H14">
        <f>ABS(G14)</f>
        <v>0.16599999999999948</v>
      </c>
    </row>
    <row r="15" spans="1:8" x14ac:dyDescent="0.2">
      <c r="A15" s="1">
        <v>37518</v>
      </c>
      <c r="B15">
        <v>0.70667000000000002</v>
      </c>
      <c r="C15">
        <v>0.71499999999999997</v>
      </c>
      <c r="F15">
        <f>YEAR(A15)</f>
        <v>2002</v>
      </c>
      <c r="G15">
        <f>(C15-B15)*100</f>
        <v>0.83299999999999486</v>
      </c>
      <c r="H15">
        <f>ABS(G15)</f>
        <v>0.83299999999999486</v>
      </c>
    </row>
    <row r="16" spans="1:8" x14ac:dyDescent="0.2">
      <c r="A16" s="1">
        <v>37603</v>
      </c>
      <c r="B16">
        <v>0.65500000000000003</v>
      </c>
      <c r="C16">
        <v>0.66666999999999998</v>
      </c>
      <c r="F16">
        <f>YEAR(A16)</f>
        <v>2002</v>
      </c>
      <c r="G16">
        <f>(C16-B16)*100</f>
        <v>1.1669999999999958</v>
      </c>
      <c r="H16">
        <f>ABS(G16)</f>
        <v>1.1669999999999958</v>
      </c>
    </row>
    <row r="17" spans="1:8" x14ac:dyDescent="0.2">
      <c r="A17" s="1">
        <v>37686</v>
      </c>
      <c r="B17">
        <v>0.57833000000000001</v>
      </c>
      <c r="C17">
        <v>0.55000000000000004</v>
      </c>
      <c r="F17">
        <f>YEAR(A17)</f>
        <v>2003</v>
      </c>
      <c r="G17">
        <f>(C17-B17)*100</f>
        <v>-2.8329999999999966</v>
      </c>
      <c r="H17">
        <f>ABS(G17)</f>
        <v>2.8329999999999966</v>
      </c>
    </row>
    <row r="18" spans="1:8" x14ac:dyDescent="0.2">
      <c r="A18" s="1">
        <v>37700</v>
      </c>
      <c r="B18">
        <v>0.28000000000000003</v>
      </c>
      <c r="C18">
        <v>0.3</v>
      </c>
      <c r="F18">
        <f>YEAR(A18)</f>
        <v>2003</v>
      </c>
      <c r="G18">
        <f>(C18-B18)*100</f>
        <v>1.9999999999999962</v>
      </c>
      <c r="H18">
        <f>ABS(G18)</f>
        <v>1.9999999999999962</v>
      </c>
    </row>
    <row r="19" spans="1:8" x14ac:dyDescent="0.2">
      <c r="A19" s="1">
        <v>37785</v>
      </c>
      <c r="B19">
        <v>0.24833</v>
      </c>
      <c r="C19">
        <v>0.255</v>
      </c>
      <c r="F19">
        <f>YEAR(A19)</f>
        <v>2003</v>
      </c>
      <c r="G19">
        <f>(C19-B19)*100</f>
        <v>0.66700000000000093</v>
      </c>
      <c r="H19">
        <f>ABS(G19)</f>
        <v>0.66700000000000093</v>
      </c>
    </row>
    <row r="20" spans="1:8" x14ac:dyDescent="0.2">
      <c r="A20" s="1">
        <v>37882</v>
      </c>
      <c r="B20">
        <v>0.21667</v>
      </c>
      <c r="C20">
        <v>0.21</v>
      </c>
      <c r="F20">
        <f>YEAR(A20)</f>
        <v>2003</v>
      </c>
      <c r="G20">
        <f>(C20-B20)*100</f>
        <v>-0.66700000000000093</v>
      </c>
      <c r="H20">
        <f>ABS(G20)</f>
        <v>0.66700000000000093</v>
      </c>
    </row>
    <row r="21" spans="1:8" x14ac:dyDescent="0.2">
      <c r="A21" s="1">
        <v>37967</v>
      </c>
      <c r="B21">
        <v>0.23</v>
      </c>
      <c r="C21">
        <v>0.23</v>
      </c>
      <c r="F21">
        <f>YEAR(A21)</f>
        <v>2003</v>
      </c>
      <c r="G21">
        <f>(C21-B21)*100</f>
        <v>0</v>
      </c>
      <c r="H21">
        <f>ABS(G21)</f>
        <v>0</v>
      </c>
    </row>
    <row r="22" spans="1:8" x14ac:dyDescent="0.2">
      <c r="A22" s="1">
        <v>38064</v>
      </c>
      <c r="B22">
        <v>0.21833</v>
      </c>
      <c r="C22">
        <v>0.21667</v>
      </c>
      <c r="F22">
        <f>YEAR(A22)</f>
        <v>2004</v>
      </c>
      <c r="G22">
        <f>(C22-B22)*100</f>
        <v>-0.16599999999999948</v>
      </c>
      <c r="H22">
        <f>ABS(G22)</f>
        <v>0.16599999999999948</v>
      </c>
    </row>
    <row r="23" spans="1:8" x14ac:dyDescent="0.2">
      <c r="A23" s="1">
        <v>38155</v>
      </c>
      <c r="B23">
        <v>0.29166999999999998</v>
      </c>
      <c r="C23">
        <v>0.4</v>
      </c>
      <c r="F23">
        <f>YEAR(A23)</f>
        <v>2004</v>
      </c>
      <c r="G23">
        <f>(C23-B23)*100</f>
        <v>10.833000000000004</v>
      </c>
      <c r="H23">
        <f>ABS(G23)</f>
        <v>10.833000000000004</v>
      </c>
    </row>
    <row r="24" spans="1:8" x14ac:dyDescent="0.2">
      <c r="A24" s="1">
        <v>38246</v>
      </c>
      <c r="B24">
        <v>0.53166999999999998</v>
      </c>
      <c r="C24">
        <v>0.55000000000000004</v>
      </c>
      <c r="F24">
        <f>YEAR(A24)</f>
        <v>2004</v>
      </c>
      <c r="G24">
        <f>(C24-B24)*100</f>
        <v>1.8330000000000068</v>
      </c>
      <c r="H24">
        <f>ABS(G24)</f>
        <v>1.8330000000000068</v>
      </c>
    </row>
    <row r="25" spans="1:8" x14ac:dyDescent="0.2">
      <c r="A25" s="1">
        <v>38337</v>
      </c>
      <c r="B25">
        <v>0.75</v>
      </c>
      <c r="C25">
        <v>0.70833000000000002</v>
      </c>
      <c r="F25">
        <f>YEAR(A25)</f>
        <v>2004</v>
      </c>
      <c r="G25">
        <f>(C25-B25)*100</f>
        <v>-4.166999999999998</v>
      </c>
      <c r="H25">
        <f>ABS(G25)</f>
        <v>4.166999999999998</v>
      </c>
    </row>
    <row r="26" spans="1:8" x14ac:dyDescent="0.2">
      <c r="A26" s="1">
        <v>38428</v>
      </c>
      <c r="B26">
        <v>0.72</v>
      </c>
      <c r="C26">
        <v>0.72</v>
      </c>
      <c r="F26">
        <f>YEAR(A26)</f>
        <v>2005</v>
      </c>
      <c r="G26">
        <f>(C26-B26)*100</f>
        <v>0</v>
      </c>
      <c r="H26">
        <f>ABS(G26)</f>
        <v>0</v>
      </c>
    </row>
    <row r="27" spans="1:8" x14ac:dyDescent="0.2">
      <c r="A27" s="1">
        <v>38519</v>
      </c>
      <c r="B27">
        <v>0.73</v>
      </c>
      <c r="C27">
        <v>0.73</v>
      </c>
      <c r="F27">
        <f>YEAR(A27)</f>
        <v>2005</v>
      </c>
      <c r="G27">
        <f>(C27-B27)*100</f>
        <v>0</v>
      </c>
      <c r="H27">
        <f>ABS(G27)</f>
        <v>0</v>
      </c>
    </row>
    <row r="28" spans="1:8" x14ac:dyDescent="0.2">
      <c r="A28" s="1">
        <v>38610</v>
      </c>
      <c r="B28">
        <v>0.73</v>
      </c>
      <c r="C28">
        <v>0.73499999999999999</v>
      </c>
      <c r="F28">
        <f>YEAR(A28)</f>
        <v>2005</v>
      </c>
      <c r="G28">
        <f>(C28-B28)*100</f>
        <v>0.50000000000000044</v>
      </c>
      <c r="H28">
        <f>ABS(G28)</f>
        <v>0.50000000000000044</v>
      </c>
    </row>
    <row r="29" spans="1:8" x14ac:dyDescent="0.2">
      <c r="A29" s="1">
        <v>38701</v>
      </c>
      <c r="B29">
        <v>1.02</v>
      </c>
      <c r="C29">
        <v>0.93167</v>
      </c>
      <c r="F29">
        <f>YEAR(A29)</f>
        <v>2005</v>
      </c>
      <c r="G29">
        <f>(C29-B29)*100</f>
        <v>-8.833000000000002</v>
      </c>
      <c r="H29">
        <f>ABS(G29)</f>
        <v>8.833000000000002</v>
      </c>
    </row>
    <row r="30" spans="1:8" x14ac:dyDescent="0.2">
      <c r="A30" s="1">
        <v>38792</v>
      </c>
      <c r="B30">
        <v>1.07833</v>
      </c>
      <c r="C30">
        <v>1.1016699999999999</v>
      </c>
      <c r="F30">
        <f>YEAR(A30)</f>
        <v>2006</v>
      </c>
      <c r="G30">
        <f>(C30-B30)*100</f>
        <v>2.3339999999999916</v>
      </c>
      <c r="H30">
        <f>ABS(G30)</f>
        <v>2.3339999999999916</v>
      </c>
    </row>
    <row r="31" spans="1:8" x14ac:dyDescent="0.2">
      <c r="A31" s="1">
        <v>38883</v>
      </c>
      <c r="B31">
        <v>1.37</v>
      </c>
      <c r="C31">
        <v>1.39</v>
      </c>
      <c r="F31">
        <f>YEAR(A31)</f>
        <v>2006</v>
      </c>
      <c r="G31">
        <f>(C31-B31)*100</f>
        <v>1.9999999999999796</v>
      </c>
      <c r="H31">
        <f>ABS(G31)</f>
        <v>1.9999999999999796</v>
      </c>
    </row>
    <row r="32" spans="1:8" x14ac:dyDescent="0.2">
      <c r="A32" s="1">
        <v>38974</v>
      </c>
      <c r="B32">
        <v>1.62</v>
      </c>
      <c r="C32">
        <v>1.64</v>
      </c>
      <c r="F32">
        <f>YEAR(A32)</f>
        <v>2006</v>
      </c>
      <c r="G32">
        <f>(C32-B32)*100</f>
        <v>1.9999999999999796</v>
      </c>
      <c r="H32">
        <f>ABS(G32)</f>
        <v>1.9999999999999796</v>
      </c>
    </row>
    <row r="33" spans="1:8" x14ac:dyDescent="0.2">
      <c r="A33" s="1">
        <v>39065</v>
      </c>
      <c r="B33">
        <v>1.94</v>
      </c>
      <c r="C33">
        <v>1.9583299999999999</v>
      </c>
      <c r="F33">
        <f>YEAR(A33)</f>
        <v>2006</v>
      </c>
      <c r="G33">
        <f>(C33-B33)*100</f>
        <v>1.8329999999999957</v>
      </c>
      <c r="H33">
        <f>ABS(G33)</f>
        <v>1.8329999999999957</v>
      </c>
    </row>
    <row r="34" spans="1:8" x14ac:dyDescent="0.2">
      <c r="A34" s="1">
        <v>39156</v>
      </c>
      <c r="B34">
        <v>2.2200000000000002</v>
      </c>
      <c r="C34">
        <v>2.23583</v>
      </c>
      <c r="F34">
        <f>YEAR(A34)</f>
        <v>2007</v>
      </c>
      <c r="G34">
        <f>(C34-B34)*100</f>
        <v>1.5829999999999789</v>
      </c>
      <c r="H34">
        <f>ABS(G34)</f>
        <v>1.5829999999999789</v>
      </c>
    </row>
    <row r="35" spans="1:8" x14ac:dyDescent="0.2">
      <c r="A35" s="1">
        <v>39247</v>
      </c>
      <c r="B35">
        <v>2.42</v>
      </c>
      <c r="C35">
        <v>2.4183300000000001</v>
      </c>
      <c r="F35">
        <f>YEAR(A35)</f>
        <v>2007</v>
      </c>
      <c r="G35">
        <f>(C35-B35)*100</f>
        <v>-0.16699999999998383</v>
      </c>
      <c r="H35">
        <f>ABS(G35)</f>
        <v>0.16699999999998383</v>
      </c>
    </row>
    <row r="36" spans="1:8" x14ac:dyDescent="0.2">
      <c r="A36" s="1">
        <v>39338</v>
      </c>
      <c r="B36">
        <v>2.7083300000000001</v>
      </c>
      <c r="C36">
        <v>2.71</v>
      </c>
      <c r="F36">
        <f>YEAR(A36)</f>
        <v>2007</v>
      </c>
      <c r="G36">
        <f>(C36-B36)*100</f>
        <v>0.16699999999998383</v>
      </c>
      <c r="H36">
        <f>ABS(G36)</f>
        <v>0.16699999999998383</v>
      </c>
    </row>
    <row r="37" spans="1:8" x14ac:dyDescent="0.2">
      <c r="A37" s="1">
        <v>39429</v>
      </c>
      <c r="B37">
        <v>2.7316699999999998</v>
      </c>
      <c r="C37">
        <v>2.75</v>
      </c>
      <c r="F37">
        <f>YEAR(A37)</f>
        <v>2007</v>
      </c>
      <c r="G37">
        <f>(C37-B37)*100</f>
        <v>1.8330000000000179</v>
      </c>
      <c r="H37">
        <f>ABS(G37)</f>
        <v>1.8330000000000179</v>
      </c>
    </row>
    <row r="38" spans="1:8" x14ac:dyDescent="0.2">
      <c r="A38" s="1">
        <v>39520</v>
      </c>
      <c r="B38">
        <v>2.56833</v>
      </c>
      <c r="C38">
        <v>2.5583300000000002</v>
      </c>
      <c r="F38">
        <f>YEAR(A38)</f>
        <v>2008</v>
      </c>
      <c r="G38">
        <f>(C38-B38)*100</f>
        <v>-0.99999999999997868</v>
      </c>
      <c r="H38">
        <f>ABS(G38)</f>
        <v>0.99999999999997868</v>
      </c>
    </row>
    <row r="39" spans="1:8" x14ac:dyDescent="0.2">
      <c r="A39" s="1">
        <v>39618</v>
      </c>
      <c r="B39">
        <v>2.4750000000000001</v>
      </c>
      <c r="C39">
        <v>2.4249999999999998</v>
      </c>
      <c r="F39">
        <f>YEAR(A39)</f>
        <v>2008</v>
      </c>
      <c r="G39">
        <f>(C39-B39)*100</f>
        <v>-5.0000000000000266</v>
      </c>
      <c r="H39">
        <f>ABS(G39)</f>
        <v>5.0000000000000266</v>
      </c>
    </row>
    <row r="40" spans="1:8" x14ac:dyDescent="0.2">
      <c r="A40" s="1">
        <v>39709</v>
      </c>
      <c r="B40">
        <v>2.35</v>
      </c>
      <c r="C40">
        <v>2.4916700000000001</v>
      </c>
      <c r="F40">
        <f>YEAR(A40)</f>
        <v>2008</v>
      </c>
      <c r="G40">
        <f>(C40-B40)*100</f>
        <v>14.166999999999996</v>
      </c>
      <c r="H40">
        <f>ABS(G40)</f>
        <v>14.166999999999996</v>
      </c>
    </row>
    <row r="41" spans="1:8" x14ac:dyDescent="0.2">
      <c r="A41" s="1">
        <v>39729</v>
      </c>
      <c r="B41">
        <v>2.9249999999999998</v>
      </c>
      <c r="C41">
        <v>2.9750000000000001</v>
      </c>
      <c r="F41">
        <f>YEAR(A41)</f>
        <v>2008</v>
      </c>
      <c r="G41">
        <f>(C41-B41)*100</f>
        <v>5.0000000000000266</v>
      </c>
      <c r="H41">
        <f>ABS(G41)</f>
        <v>5.0000000000000266</v>
      </c>
    </row>
    <row r="42" spans="1:8" x14ac:dyDescent="0.2">
      <c r="A42" s="1">
        <v>39758</v>
      </c>
      <c r="B42">
        <v>1.69</v>
      </c>
      <c r="C42">
        <v>1.655</v>
      </c>
      <c r="F42">
        <f>YEAR(A42)</f>
        <v>2008</v>
      </c>
      <c r="G42">
        <f>(C42-B42)*100</f>
        <v>-3.499999999999992</v>
      </c>
      <c r="H42">
        <f>ABS(G42)</f>
        <v>3.499999999999992</v>
      </c>
    </row>
    <row r="43" spans="1:8" x14ac:dyDescent="0.2">
      <c r="A43" s="1">
        <v>39772</v>
      </c>
      <c r="B43">
        <v>1.02667</v>
      </c>
      <c r="C43">
        <v>0.99333000000000005</v>
      </c>
      <c r="F43">
        <f>YEAR(A43)</f>
        <v>2008</v>
      </c>
      <c r="G43">
        <f>(C43-B43)*100</f>
        <v>-3.3339999999999925</v>
      </c>
      <c r="H43">
        <f>ABS(G43)</f>
        <v>3.3339999999999925</v>
      </c>
    </row>
    <row r="44" spans="1:8" x14ac:dyDescent="0.2">
      <c r="A44" s="1">
        <v>39793</v>
      </c>
      <c r="B44">
        <v>0.7</v>
      </c>
      <c r="C44">
        <v>0.47499999999999998</v>
      </c>
      <c r="F44">
        <f>YEAR(A44)</f>
        <v>2008</v>
      </c>
      <c r="G44">
        <f>(C44-B44)*100</f>
        <v>-22.499999999999996</v>
      </c>
      <c r="H44">
        <f>ABS(G44)</f>
        <v>22.499999999999996</v>
      </c>
    </row>
    <row r="45" spans="1:8" x14ac:dyDescent="0.2">
      <c r="A45" s="1">
        <v>39884</v>
      </c>
      <c r="B45">
        <v>0.27833000000000002</v>
      </c>
      <c r="C45">
        <v>0.27333000000000002</v>
      </c>
      <c r="F45">
        <f>YEAR(A45)</f>
        <v>2009</v>
      </c>
      <c r="G45">
        <f>(C45-B45)*100</f>
        <v>-0.50000000000000044</v>
      </c>
      <c r="H45">
        <f>ABS(G45)</f>
        <v>0.50000000000000044</v>
      </c>
    </row>
    <row r="46" spans="1:8" x14ac:dyDescent="0.2">
      <c r="A46" s="1">
        <v>39982</v>
      </c>
      <c r="B46">
        <v>0.19917000000000001</v>
      </c>
      <c r="C46">
        <v>0.19833000000000001</v>
      </c>
      <c r="F46">
        <f>YEAR(A46)</f>
        <v>2009</v>
      </c>
      <c r="G46">
        <f>(C46-B46)*100</f>
        <v>-8.4000000000000741E-2</v>
      </c>
      <c r="H46">
        <f>ABS(G46)</f>
        <v>8.4000000000000741E-2</v>
      </c>
    </row>
    <row r="47" spans="1:8" x14ac:dyDescent="0.2">
      <c r="A47" s="1">
        <v>40073</v>
      </c>
      <c r="B47">
        <v>0.105</v>
      </c>
      <c r="C47">
        <v>0.105</v>
      </c>
      <c r="F47">
        <f>YEAR(A47)</f>
        <v>2009</v>
      </c>
      <c r="G47">
        <f>(C47-B47)*100</f>
        <v>0</v>
      </c>
      <c r="H47">
        <f>ABS(G47)</f>
        <v>0</v>
      </c>
    </row>
    <row r="48" spans="1:8" x14ac:dyDescent="0.2">
      <c r="A48" s="1">
        <v>40157</v>
      </c>
      <c r="B48">
        <v>0.11333</v>
      </c>
      <c r="C48">
        <v>0.11333</v>
      </c>
      <c r="F48">
        <f>YEAR(A48)</f>
        <v>2009</v>
      </c>
      <c r="G48">
        <f>(C48-B48)*100</f>
        <v>0</v>
      </c>
      <c r="H48">
        <f>ABS(G48)</f>
        <v>0</v>
      </c>
    </row>
    <row r="49" spans="1:8" x14ac:dyDescent="0.2">
      <c r="A49" s="1">
        <v>40248</v>
      </c>
      <c r="B49">
        <v>9.3329999999999996E-2</v>
      </c>
      <c r="C49">
        <v>9.3329999999999996E-2</v>
      </c>
      <c r="F49">
        <f>YEAR(A49)</f>
        <v>2010</v>
      </c>
      <c r="G49">
        <f>(C49-B49)*100</f>
        <v>0</v>
      </c>
      <c r="H49">
        <f>ABS(G49)</f>
        <v>0</v>
      </c>
    </row>
    <row r="50" spans="1:8" x14ac:dyDescent="0.2">
      <c r="A50" s="1">
        <v>40346</v>
      </c>
      <c r="B50">
        <v>4.8329999999999998E-2</v>
      </c>
      <c r="C50">
        <v>0.05</v>
      </c>
      <c r="F50">
        <f>YEAR(A50)</f>
        <v>2010</v>
      </c>
      <c r="G50">
        <f>(C50-B50)*100</f>
        <v>0.16700000000000048</v>
      </c>
      <c r="H50">
        <f>ABS(G50)</f>
        <v>0.16700000000000048</v>
      </c>
    </row>
    <row r="51" spans="1:8" x14ac:dyDescent="0.2">
      <c r="A51" s="1">
        <v>40437</v>
      </c>
      <c r="B51">
        <v>0.15</v>
      </c>
      <c r="C51">
        <v>0.15332999999999999</v>
      </c>
      <c r="F51">
        <f>YEAR(A51)</f>
        <v>2010</v>
      </c>
      <c r="G51">
        <f>(C51-B51)*100</f>
        <v>0.33299999999999996</v>
      </c>
      <c r="H51">
        <f>ABS(G51)</f>
        <v>0.33299999999999996</v>
      </c>
    </row>
    <row r="52" spans="1:8" x14ac:dyDescent="0.2">
      <c r="A52" s="1">
        <v>40528</v>
      </c>
      <c r="B52">
        <v>0.14000000000000001</v>
      </c>
      <c r="C52">
        <v>0.14000000000000001</v>
      </c>
      <c r="F52">
        <f>YEAR(A52)</f>
        <v>2010</v>
      </c>
      <c r="G52">
        <f>(C52-B52)*100</f>
        <v>0</v>
      </c>
      <c r="H52">
        <f>ABS(G52)</f>
        <v>0</v>
      </c>
    </row>
    <row r="53" spans="1:8" x14ac:dyDescent="0.2">
      <c r="A53" s="1">
        <v>40619</v>
      </c>
      <c r="B53">
        <v>0.13667000000000001</v>
      </c>
      <c r="C53">
        <v>0.13667000000000001</v>
      </c>
      <c r="F53">
        <f>YEAR(A53)</f>
        <v>2011</v>
      </c>
      <c r="G53">
        <f>(C53-B53)*100</f>
        <v>0</v>
      </c>
      <c r="H53">
        <f>ABS(G53)</f>
        <v>0</v>
      </c>
    </row>
    <row r="54" spans="1:8" x14ac:dyDescent="0.2">
      <c r="A54" s="1">
        <v>40710</v>
      </c>
      <c r="B54">
        <v>0.12833</v>
      </c>
      <c r="C54">
        <v>0.12833</v>
      </c>
      <c r="F54">
        <f>YEAR(A54)</f>
        <v>2011</v>
      </c>
      <c r="G54">
        <f>(C54-B54)*100</f>
        <v>0</v>
      </c>
      <c r="H54">
        <f>ABS(G54)</f>
        <v>0</v>
      </c>
    </row>
    <row r="55" spans="1:8" x14ac:dyDescent="0.2">
      <c r="A55" s="1">
        <v>40758</v>
      </c>
      <c r="B55">
        <v>0.12583</v>
      </c>
      <c r="C55">
        <v>9.7500000000000003E-2</v>
      </c>
      <c r="F55">
        <f>YEAR(A55)</f>
        <v>2011</v>
      </c>
      <c r="G55">
        <f>(C55-B55)*100</f>
        <v>-2.8329999999999993</v>
      </c>
      <c r="H55">
        <f>ABS(G55)</f>
        <v>2.8329999999999993</v>
      </c>
    </row>
    <row r="56" spans="1:8" x14ac:dyDescent="0.2">
      <c r="A56" s="1">
        <v>40765</v>
      </c>
      <c r="B56">
        <v>0.06</v>
      </c>
      <c r="C56">
        <v>4.333E-2</v>
      </c>
      <c r="F56">
        <f>YEAR(A56)</f>
        <v>2011</v>
      </c>
      <c r="G56">
        <f>(C56-B56)*100</f>
        <v>-1.6669999999999998</v>
      </c>
      <c r="H56">
        <f>ABS(G56)</f>
        <v>1.6669999999999998</v>
      </c>
    </row>
    <row r="57" spans="1:8" x14ac:dyDescent="0.2">
      <c r="A57" s="1">
        <v>40772</v>
      </c>
      <c r="B57">
        <v>1.917E-2</v>
      </c>
      <c r="C57">
        <v>9.1699999999999993E-3</v>
      </c>
      <c r="F57">
        <f>YEAR(A57)</f>
        <v>2011</v>
      </c>
      <c r="G57">
        <f>(C57-B57)*100</f>
        <v>-1</v>
      </c>
      <c r="H57">
        <f>ABS(G57)</f>
        <v>1</v>
      </c>
    </row>
    <row r="58" spans="1:8" x14ac:dyDescent="0.2">
      <c r="A58" s="1">
        <v>40792</v>
      </c>
      <c r="B58">
        <v>0</v>
      </c>
      <c r="C58">
        <v>0</v>
      </c>
      <c r="F58">
        <f>YEAR(A58)</f>
        <v>2011</v>
      </c>
      <c r="G58">
        <f>(C58-B58)*100</f>
        <v>0</v>
      </c>
      <c r="H58">
        <f>ABS(G58)</f>
        <v>0</v>
      </c>
    </row>
    <row r="59" spans="1:8" x14ac:dyDescent="0.2">
      <c r="A59" s="1">
        <v>40801</v>
      </c>
      <c r="B59">
        <v>0</v>
      </c>
      <c r="C59">
        <v>0</v>
      </c>
      <c r="F59">
        <f>YEAR(A59)</f>
        <v>2011</v>
      </c>
      <c r="G59">
        <f>(C59-B59)*100</f>
        <v>0</v>
      </c>
      <c r="H59">
        <f>ABS(G59)</f>
        <v>0</v>
      </c>
    </row>
    <row r="60" spans="1:8" x14ac:dyDescent="0.2">
      <c r="A60" s="1">
        <v>40892</v>
      </c>
      <c r="B60">
        <v>3.1669999999999997E-2</v>
      </c>
      <c r="C60">
        <v>3.1669999999999997E-2</v>
      </c>
      <c r="F60">
        <f>YEAR(A60)</f>
        <v>2011</v>
      </c>
      <c r="G60">
        <f>(C60-B60)*100</f>
        <v>0</v>
      </c>
      <c r="H60">
        <f>ABS(G60)</f>
        <v>0</v>
      </c>
    </row>
    <row r="61" spans="1:8" x14ac:dyDescent="0.2">
      <c r="A61" s="1">
        <v>40983</v>
      </c>
      <c r="B61">
        <v>7.2499999999999995E-2</v>
      </c>
      <c r="C61">
        <v>7.417E-2</v>
      </c>
      <c r="F61">
        <f>YEAR(A61)</f>
        <v>2012</v>
      </c>
      <c r="G61">
        <f>(C61-B61)*100</f>
        <v>0.16700000000000048</v>
      </c>
      <c r="H61">
        <f>ABS(G61)</f>
        <v>0.16700000000000048</v>
      </c>
    </row>
    <row r="62" spans="1:8" x14ac:dyDescent="0.2">
      <c r="A62" s="1">
        <v>41074</v>
      </c>
      <c r="B62">
        <v>4.0829999999999998E-2</v>
      </c>
      <c r="C62">
        <v>3.9170000000000003E-2</v>
      </c>
      <c r="F62">
        <f>YEAR(A62)</f>
        <v>2012</v>
      </c>
      <c r="G62">
        <f>(C62-B62)*100</f>
        <v>-0.16599999999999948</v>
      </c>
      <c r="H62">
        <f>ABS(G62)</f>
        <v>0.16599999999999948</v>
      </c>
    </row>
    <row r="63" spans="1:8" x14ac:dyDescent="0.2">
      <c r="A63" s="1">
        <v>41165</v>
      </c>
      <c r="B63">
        <v>1.0999999999999999E-2</v>
      </c>
      <c r="C63">
        <v>1.0999999999999999E-2</v>
      </c>
      <c r="F63">
        <f>YEAR(A63)</f>
        <v>2012</v>
      </c>
      <c r="G63">
        <f>(C63-B63)*100</f>
        <v>0</v>
      </c>
      <c r="H63">
        <f>ABS(G63)</f>
        <v>0</v>
      </c>
    </row>
    <row r="64" spans="1:8" x14ac:dyDescent="0.2">
      <c r="A64" s="1">
        <v>41256</v>
      </c>
      <c r="B64">
        <v>-8.0000000000000002E-3</v>
      </c>
      <c r="C64">
        <v>-8.0000000000000002E-3</v>
      </c>
      <c r="F64">
        <f>YEAR(A64)</f>
        <v>2012</v>
      </c>
      <c r="G64">
        <f>(C64-B64)*100</f>
        <v>0</v>
      </c>
      <c r="H64">
        <f>ABS(G64)</f>
        <v>0</v>
      </c>
    </row>
    <row r="65" spans="1:8" x14ac:dyDescent="0.2">
      <c r="A65" s="1">
        <v>41347</v>
      </c>
      <c r="B65">
        <v>-1E-3</v>
      </c>
      <c r="C65">
        <v>-1E-3</v>
      </c>
      <c r="F65">
        <f>YEAR(A65)</f>
        <v>2013</v>
      </c>
      <c r="G65">
        <f>(C65-B65)*100</f>
        <v>0</v>
      </c>
      <c r="H65">
        <f>ABS(G65)</f>
        <v>0</v>
      </c>
    </row>
    <row r="66" spans="1:8" x14ac:dyDescent="0.2">
      <c r="A66" s="1">
        <v>41445</v>
      </c>
      <c r="B66">
        <v>-3.0000000000000001E-3</v>
      </c>
      <c r="C66">
        <v>-3.0000000000000001E-3</v>
      </c>
      <c r="F66">
        <f>YEAR(A66)</f>
        <v>2013</v>
      </c>
      <c r="G66">
        <f>(C66-B66)*100</f>
        <v>0</v>
      </c>
      <c r="H66">
        <f>ABS(G66)</f>
        <v>0</v>
      </c>
    </row>
    <row r="67" spans="1:8" x14ac:dyDescent="0.2">
      <c r="A67" s="1">
        <v>41536</v>
      </c>
      <c r="B67">
        <v>-3.0000000000000001E-3</v>
      </c>
      <c r="C67">
        <v>-3.0000000000000001E-3</v>
      </c>
      <c r="F67">
        <f>YEAR(A67)</f>
        <v>2013</v>
      </c>
      <c r="G67">
        <f>(C67-B67)*100</f>
        <v>0</v>
      </c>
      <c r="H67">
        <f>ABS(G67)</f>
        <v>0</v>
      </c>
    </row>
    <row r="68" spans="1:8" x14ac:dyDescent="0.2">
      <c r="A68" s="1">
        <v>41620</v>
      </c>
      <c r="B68">
        <v>-5.0000000000000001E-3</v>
      </c>
      <c r="C68">
        <v>-5.0000000000000001E-3</v>
      </c>
      <c r="F68">
        <f>YEAR(A68)</f>
        <v>2013</v>
      </c>
      <c r="G68">
        <f>(C68-B68)*100</f>
        <v>0</v>
      </c>
      <c r="H68">
        <f>ABS(G68)</f>
        <v>0</v>
      </c>
    </row>
    <row r="69" spans="1:8" x14ac:dyDescent="0.2">
      <c r="A69" s="1">
        <v>41718</v>
      </c>
      <c r="B69">
        <v>-7.0000000000000001E-3</v>
      </c>
      <c r="C69">
        <v>-7.0000000000000001E-3</v>
      </c>
      <c r="F69">
        <f>YEAR(A69)</f>
        <v>2014</v>
      </c>
      <c r="G69">
        <f>(C69-B69)*100</f>
        <v>0</v>
      </c>
      <c r="H69">
        <f>ABS(G69)</f>
        <v>0</v>
      </c>
    </row>
    <row r="70" spans="1:8" x14ac:dyDescent="0.2">
      <c r="A70" s="1">
        <v>41809</v>
      </c>
      <c r="B70">
        <v>-7.0000000000000001E-3</v>
      </c>
      <c r="C70">
        <v>-3.0000000000000001E-3</v>
      </c>
      <c r="F70">
        <f>YEAR(A70)</f>
        <v>2014</v>
      </c>
      <c r="G70">
        <f>(C70-B70)*100</f>
        <v>0.4</v>
      </c>
      <c r="H70">
        <f>ABS(G70)</f>
        <v>0.4</v>
      </c>
    </row>
    <row r="71" spans="1:8" x14ac:dyDescent="0.2">
      <c r="A71" s="1">
        <v>41900</v>
      </c>
      <c r="B71">
        <v>-4.0000000000000001E-3</v>
      </c>
      <c r="C71">
        <v>-1E-3</v>
      </c>
      <c r="F71">
        <f>YEAR(A71)</f>
        <v>2014</v>
      </c>
      <c r="G71">
        <f>(C71-B71)*100</f>
        <v>0.3</v>
      </c>
      <c r="H71">
        <f>ABS(G71)</f>
        <v>0.3</v>
      </c>
    </row>
    <row r="72" spans="1:8" x14ac:dyDescent="0.2">
      <c r="A72" s="1">
        <v>41984</v>
      </c>
      <c r="B72">
        <v>-1.0999999999999999E-2</v>
      </c>
      <c r="C72">
        <v>-3.0000000000000001E-3</v>
      </c>
      <c r="F72">
        <f>YEAR(A72)</f>
        <v>2014</v>
      </c>
      <c r="G72">
        <f>(C72-B72)*100</f>
        <v>0.8</v>
      </c>
      <c r="H72">
        <f>ABS(G72)</f>
        <v>0.8</v>
      </c>
    </row>
    <row r="73" spans="1:8" x14ac:dyDescent="0.2">
      <c r="A73" s="1">
        <v>41991</v>
      </c>
      <c r="B73">
        <v>-3.0000000000000001E-3</v>
      </c>
      <c r="C73">
        <v>-2.4E-2</v>
      </c>
      <c r="F73">
        <f>YEAR(A73)</f>
        <v>2014</v>
      </c>
      <c r="G73">
        <f>(C73-B73)*100</f>
        <v>-2.1</v>
      </c>
      <c r="H73">
        <f>ABS(G73)</f>
        <v>2.1</v>
      </c>
    </row>
    <row r="74" spans="1:8" x14ac:dyDescent="0.2">
      <c r="A74" s="1">
        <v>42019</v>
      </c>
      <c r="B74">
        <v>-9.9000000000000005E-2</v>
      </c>
      <c r="C74">
        <v>-0.37359999999999999</v>
      </c>
      <c r="F74">
        <f>YEAR(A74)</f>
        <v>2015</v>
      </c>
      <c r="G74">
        <f>(C74-B74)*100</f>
        <v>-27.459999999999994</v>
      </c>
      <c r="H74">
        <f>ABS(G74)</f>
        <v>27.459999999999994</v>
      </c>
    </row>
    <row r="75" spans="1:8" x14ac:dyDescent="0.2">
      <c r="A75" s="1">
        <v>42082</v>
      </c>
      <c r="B75">
        <v>-0.84099999999999997</v>
      </c>
      <c r="C75">
        <v>-0.83499999999999996</v>
      </c>
      <c r="F75">
        <f>YEAR(A75)</f>
        <v>2015</v>
      </c>
      <c r="G75">
        <f>(C75-B75)*100</f>
        <v>0.60000000000000053</v>
      </c>
      <c r="H75">
        <f>ABS(G75)</f>
        <v>0.60000000000000053</v>
      </c>
    </row>
    <row r="76" spans="1:8" x14ac:dyDescent="0.2">
      <c r="A76" s="1">
        <v>42173</v>
      </c>
      <c r="B76">
        <v>-0.82499999999999996</v>
      </c>
      <c r="C76">
        <v>-0.82099999999999995</v>
      </c>
      <c r="F76">
        <f>YEAR(A76)</f>
        <v>2015</v>
      </c>
      <c r="G76">
        <f>(C76-B76)*100</f>
        <v>0.40000000000000036</v>
      </c>
      <c r="H76">
        <f>ABS(G76)</f>
        <v>0.40000000000000036</v>
      </c>
    </row>
    <row r="77" spans="1:8" x14ac:dyDescent="0.2">
      <c r="A77" s="1">
        <v>42264</v>
      </c>
      <c r="B77">
        <v>-0.79700000000000004</v>
      </c>
      <c r="C77">
        <v>-0.8</v>
      </c>
      <c r="F77">
        <f>YEAR(A77)</f>
        <v>2015</v>
      </c>
      <c r="G77">
        <f>(C77-B77)*100</f>
        <v>-0.30000000000000027</v>
      </c>
      <c r="H77">
        <f>ABS(G77)</f>
        <v>0.30000000000000027</v>
      </c>
    </row>
    <row r="78" spans="1:8" x14ac:dyDescent="0.2">
      <c r="A78" s="1">
        <v>42348</v>
      </c>
      <c r="B78">
        <v>-0.83899999999999997</v>
      </c>
      <c r="C78">
        <v>-0.81599999999999995</v>
      </c>
      <c r="F78">
        <f>YEAR(A78)</f>
        <v>2015</v>
      </c>
      <c r="G78">
        <f>(C78-B78)*100</f>
        <v>2.300000000000002</v>
      </c>
      <c r="H78">
        <f>ABS(G78)</f>
        <v>2.300000000000002</v>
      </c>
    </row>
    <row r="79" spans="1:8" x14ac:dyDescent="0.2">
      <c r="A79" s="1">
        <v>42446</v>
      </c>
      <c r="B79">
        <v>-0.79559999999999997</v>
      </c>
      <c r="C79">
        <v>-0.78359999999999996</v>
      </c>
      <c r="F79">
        <f>YEAR(A79)</f>
        <v>2016</v>
      </c>
      <c r="G79">
        <f>(C79-B79)*100</f>
        <v>1.2000000000000011</v>
      </c>
      <c r="H79">
        <f>ABS(G79)</f>
        <v>1.2000000000000011</v>
      </c>
    </row>
    <row r="80" spans="1:8" x14ac:dyDescent="0.2">
      <c r="A80" s="1">
        <v>42537</v>
      </c>
      <c r="B80">
        <v>-0.82020000000000004</v>
      </c>
      <c r="C80">
        <v>-0.8306</v>
      </c>
      <c r="F80">
        <f>YEAR(A80)</f>
        <v>2016</v>
      </c>
      <c r="G80">
        <f>(C80-B80)*100</f>
        <v>-1.0399999999999965</v>
      </c>
      <c r="H80">
        <f>ABS(G80)</f>
        <v>1.0399999999999965</v>
      </c>
    </row>
    <row r="81" spans="1:8" x14ac:dyDescent="0.2">
      <c r="A81" s="1">
        <v>42628</v>
      </c>
      <c r="B81">
        <v>-0.79979999999999996</v>
      </c>
      <c r="C81">
        <v>-0.79979999999999996</v>
      </c>
      <c r="F81">
        <f>YEAR(A81)</f>
        <v>2016</v>
      </c>
      <c r="G81">
        <f>(C81-B81)*100</f>
        <v>0</v>
      </c>
      <c r="H81">
        <f>ABS(G81)</f>
        <v>0</v>
      </c>
    </row>
    <row r="82" spans="1:8" x14ac:dyDescent="0.2">
      <c r="A82" s="1">
        <v>42719</v>
      </c>
      <c r="B82">
        <v>-0.82079999999999997</v>
      </c>
      <c r="C82">
        <v>-0.82679999999999998</v>
      </c>
      <c r="F82">
        <f>YEAR(A82)</f>
        <v>2016</v>
      </c>
      <c r="G82">
        <f>(C82-B82)*100</f>
        <v>-0.60000000000000053</v>
      </c>
      <c r="H82">
        <f>ABS(G82)</f>
        <v>0.60000000000000053</v>
      </c>
    </row>
    <row r="83" spans="1:8" x14ac:dyDescent="0.2">
      <c r="A83" s="1">
        <v>42810</v>
      </c>
      <c r="B83">
        <v>-0.79600000000000004</v>
      </c>
      <c r="C83">
        <v>-0.79700000000000004</v>
      </c>
      <c r="F83">
        <f>YEAR(A83)</f>
        <v>2017</v>
      </c>
      <c r="G83">
        <f>(C83-B83)*100</f>
        <v>-0.10000000000000009</v>
      </c>
      <c r="H83">
        <f>ABS(G83)</f>
        <v>0.10000000000000009</v>
      </c>
    </row>
    <row r="84" spans="1:8" x14ac:dyDescent="0.2">
      <c r="A84" s="1">
        <v>42901</v>
      </c>
      <c r="B84">
        <v>-0.78759999999999997</v>
      </c>
      <c r="C84">
        <v>-0.78759999999999997</v>
      </c>
      <c r="F84">
        <f>YEAR(A84)</f>
        <v>2017</v>
      </c>
      <c r="G84">
        <f>(C84-B84)*100</f>
        <v>0</v>
      </c>
      <c r="H84">
        <f>ABS(G84)</f>
        <v>0</v>
      </c>
    </row>
    <row r="85" spans="1:8" x14ac:dyDescent="0.2">
      <c r="A85" s="1">
        <v>42992</v>
      </c>
      <c r="B85">
        <v>-0.78500000000000003</v>
      </c>
      <c r="C85">
        <v>-0.78500000000000003</v>
      </c>
      <c r="F85">
        <f>YEAR(A85)</f>
        <v>2017</v>
      </c>
      <c r="G85">
        <f>(C85-B85)*100</f>
        <v>0</v>
      </c>
      <c r="H85">
        <f>ABS(G85)</f>
        <v>0</v>
      </c>
    </row>
    <row r="86" spans="1:8" x14ac:dyDescent="0.2">
      <c r="A86" s="1">
        <v>43083</v>
      </c>
      <c r="B86">
        <v>-0.82430000000000003</v>
      </c>
      <c r="C86">
        <v>-0.83104999999999996</v>
      </c>
      <c r="F86">
        <f>YEAR(A86)</f>
        <v>2017</v>
      </c>
      <c r="G86">
        <f>(C86-B86)*100</f>
        <v>-0.67499999999999227</v>
      </c>
      <c r="H86">
        <f>ABS(G86)</f>
        <v>0.67499999999999227</v>
      </c>
    </row>
    <row r="87" spans="1:8" x14ac:dyDescent="0.2">
      <c r="A87" s="1">
        <v>43174</v>
      </c>
      <c r="B87">
        <v>-0.81145</v>
      </c>
      <c r="C87">
        <v>-0.81145</v>
      </c>
      <c r="F87">
        <f>YEAR(A87)</f>
        <v>2018</v>
      </c>
      <c r="G87">
        <f>(C87-B87)*100</f>
        <v>0</v>
      </c>
      <c r="H87">
        <f>ABS(G87)</f>
        <v>0</v>
      </c>
    </row>
    <row r="88" spans="1:8" x14ac:dyDescent="0.2">
      <c r="A88" s="1">
        <v>43272</v>
      </c>
      <c r="B88">
        <v>-0.78539999999999999</v>
      </c>
      <c r="C88">
        <v>-0.78200000000000003</v>
      </c>
      <c r="F88">
        <f>YEAR(A88)</f>
        <v>2018</v>
      </c>
      <c r="G88">
        <f>(C88-B88)*100</f>
        <v>0.33999999999999586</v>
      </c>
      <c r="H88">
        <f>ABS(G88)</f>
        <v>0.33999999999999586</v>
      </c>
    </row>
    <row r="89" spans="1:8" x14ac:dyDescent="0.2">
      <c r="A89" s="1">
        <v>43363</v>
      </c>
      <c r="B89">
        <v>-0.78080000000000005</v>
      </c>
      <c r="C89">
        <v>-0.78280000000000005</v>
      </c>
      <c r="F89">
        <f>YEAR(A89)</f>
        <v>2018</v>
      </c>
      <c r="G89">
        <f>(C89-B89)*100</f>
        <v>-0.20000000000000018</v>
      </c>
      <c r="H89">
        <f>ABS(G89)</f>
        <v>0.20000000000000018</v>
      </c>
    </row>
    <row r="90" spans="1:8" x14ac:dyDescent="0.2">
      <c r="A90" s="1">
        <v>43447</v>
      </c>
      <c r="B90">
        <v>-0.8226</v>
      </c>
      <c r="C90">
        <v>-0.82440000000000002</v>
      </c>
      <c r="F90">
        <f>YEAR(A90)</f>
        <v>2018</v>
      </c>
      <c r="G90">
        <f>(C90-B90)*100</f>
        <v>-0.18000000000000238</v>
      </c>
      <c r="H90">
        <f>ABS(G90)</f>
        <v>0.18000000000000238</v>
      </c>
    </row>
    <row r="91" spans="1:8" x14ac:dyDescent="0.2">
      <c r="A91" s="1">
        <v>43545</v>
      </c>
      <c r="B91">
        <v>-0.78520000000000001</v>
      </c>
      <c r="C91">
        <v>-0.78620000000000001</v>
      </c>
      <c r="F91">
        <f>YEAR(A91)</f>
        <v>2019</v>
      </c>
      <c r="G91">
        <f>(C91-B91)*100</f>
        <v>-0.10000000000000009</v>
      </c>
      <c r="H91">
        <f>ABS(G91)</f>
        <v>0.10000000000000009</v>
      </c>
    </row>
    <row r="92" spans="1:8" x14ac:dyDescent="0.2">
      <c r="A92" s="1">
        <v>43629</v>
      </c>
      <c r="B92">
        <v>-0.80100000000000005</v>
      </c>
      <c r="C92">
        <v>-0.8014</v>
      </c>
      <c r="F92">
        <f>YEAR(A92)</f>
        <v>2019</v>
      </c>
      <c r="G92">
        <f>(C92-B92)*100</f>
        <v>-3.9999999999995595E-2</v>
      </c>
      <c r="H92">
        <f>ABS(G92)</f>
        <v>3.9999999999995595E-2</v>
      </c>
    </row>
    <row r="93" spans="1:8" x14ac:dyDescent="0.2">
      <c r="A93" s="1">
        <v>43727</v>
      </c>
      <c r="B93">
        <v>-0.85219999999999996</v>
      </c>
      <c r="C93">
        <v>-0.83420000000000005</v>
      </c>
      <c r="F93">
        <f>YEAR(A93)</f>
        <v>2019</v>
      </c>
      <c r="G93">
        <f>(C93-B93)*100</f>
        <v>1.7999999999999905</v>
      </c>
      <c r="H93">
        <f>ABS(G93)</f>
        <v>1.7999999999999905</v>
      </c>
    </row>
    <row r="94" spans="1:8" x14ac:dyDescent="0.2">
      <c r="A94" s="1">
        <v>43811</v>
      </c>
      <c r="B94">
        <v>-0.82120000000000004</v>
      </c>
      <c r="C94">
        <v>-0.82179999999999997</v>
      </c>
      <c r="F94">
        <f>YEAR(A94)</f>
        <v>2019</v>
      </c>
      <c r="G94">
        <f>(C94-B94)*100</f>
        <v>-5.9999999999993392E-2</v>
      </c>
      <c r="H94">
        <f>ABS(G94)</f>
        <v>5.9999999999993392E-2</v>
      </c>
    </row>
    <row r="95" spans="1:8" x14ac:dyDescent="0.2">
      <c r="A95" s="1">
        <v>43909</v>
      </c>
      <c r="B95">
        <v>-0.88380000000000003</v>
      </c>
      <c r="C95">
        <v>-0.85060000000000002</v>
      </c>
      <c r="F95">
        <f>YEAR(A95)</f>
        <v>2020</v>
      </c>
      <c r="G95">
        <f>(C95-B95)*100</f>
        <v>3.3200000000000007</v>
      </c>
      <c r="H95">
        <f>ABS(G95)</f>
        <v>3.3200000000000007</v>
      </c>
    </row>
    <row r="96" spans="1:8" x14ac:dyDescent="0.2">
      <c r="A96" s="1">
        <v>43915</v>
      </c>
      <c r="B96">
        <v>-0.80679999999999996</v>
      </c>
      <c r="C96">
        <v>-0.80300000000000005</v>
      </c>
      <c r="F96">
        <f>YEAR(A96)</f>
        <v>2020</v>
      </c>
      <c r="G96">
        <f>(C96-B96)*100</f>
        <v>0.37999999999999146</v>
      </c>
      <c r="H96">
        <f>ABS(G96)</f>
        <v>0.37999999999999146</v>
      </c>
    </row>
    <row r="97" spans="1:8" x14ac:dyDescent="0.2">
      <c r="A97" s="1">
        <v>43962</v>
      </c>
      <c r="F97">
        <f>YEAR(A97)</f>
        <v>2020</v>
      </c>
      <c r="G97">
        <f>(C97-B97)*100</f>
        <v>0</v>
      </c>
      <c r="H97">
        <f>ABS(G97)</f>
        <v>0</v>
      </c>
    </row>
    <row r="98" spans="1:8" x14ac:dyDescent="0.2">
      <c r="A98" s="1">
        <v>44000</v>
      </c>
      <c r="B98">
        <v>-0.7732</v>
      </c>
      <c r="C98">
        <v>-0.76759999999999995</v>
      </c>
      <c r="F98">
        <f>YEAR(A98)</f>
        <v>2020</v>
      </c>
      <c r="G98">
        <f>(C98-B98)*100</f>
        <v>0.56000000000000494</v>
      </c>
      <c r="H98">
        <f>ABS(G98)</f>
        <v>0.56000000000000494</v>
      </c>
    </row>
    <row r="99" spans="1:8" x14ac:dyDescent="0.2">
      <c r="A99" s="1">
        <v>44098</v>
      </c>
      <c r="B99">
        <v>-0.80659999999999998</v>
      </c>
      <c r="C99">
        <v>-0.80679999999999996</v>
      </c>
      <c r="F99">
        <f>YEAR(A99)</f>
        <v>2020</v>
      </c>
      <c r="G99">
        <f>(C99-B99)*100</f>
        <v>-1.9999999999997797E-2</v>
      </c>
      <c r="H99">
        <f>ABS(G99)</f>
        <v>1.9999999999997797E-2</v>
      </c>
    </row>
    <row r="100" spans="1:8" x14ac:dyDescent="0.2">
      <c r="A100" s="1">
        <v>44182</v>
      </c>
      <c r="B100">
        <v>-0.83499999999999996</v>
      </c>
      <c r="C100">
        <v>-0.84119999999999995</v>
      </c>
      <c r="D100">
        <v>-0.73250000000000004</v>
      </c>
      <c r="E100">
        <v>-0.73250000000000004</v>
      </c>
      <c r="F100">
        <f>YEAR(A100)</f>
        <v>2020</v>
      </c>
      <c r="G100">
        <f>(C100-B100)*100</f>
        <v>-0.61999999999999833</v>
      </c>
      <c r="H100">
        <f>ABS(G100)</f>
        <v>0.61999999999999833</v>
      </c>
    </row>
    <row r="101" spans="1:8" x14ac:dyDescent="0.2">
      <c r="A101" s="1">
        <v>44280</v>
      </c>
      <c r="D101">
        <v>-0.72750000000000004</v>
      </c>
      <c r="E101">
        <v>-0.72750000000000004</v>
      </c>
      <c r="F101">
        <f>YEAR(A101)</f>
        <v>2021</v>
      </c>
      <c r="G101">
        <f>(E101-D101)*100</f>
        <v>0</v>
      </c>
      <c r="H101">
        <f>ABS(G101)</f>
        <v>0</v>
      </c>
    </row>
    <row r="102" spans="1:8" x14ac:dyDescent="0.2">
      <c r="A102" s="1">
        <v>44364</v>
      </c>
      <c r="D102">
        <v>-0.73</v>
      </c>
      <c r="E102">
        <v>-0.73</v>
      </c>
      <c r="F102">
        <f>YEAR(A102)</f>
        <v>2021</v>
      </c>
      <c r="G102">
        <f>(E102-D102)*100</f>
        <v>0</v>
      </c>
      <c r="H102">
        <f>ABS(G102)</f>
        <v>0</v>
      </c>
    </row>
    <row r="103" spans="1:8" x14ac:dyDescent="0.2">
      <c r="A103" s="1">
        <v>44462</v>
      </c>
      <c r="D103">
        <v>-0.72</v>
      </c>
      <c r="E103">
        <v>-0.72</v>
      </c>
      <c r="F103">
        <f>YEAR(A103)</f>
        <v>2021</v>
      </c>
      <c r="G103">
        <f>(E103-D103)*100</f>
        <v>0</v>
      </c>
      <c r="H103">
        <f>ABS(G103)</f>
        <v>0</v>
      </c>
    </row>
    <row r="104" spans="1:8" x14ac:dyDescent="0.2">
      <c r="A104" s="1">
        <v>44546</v>
      </c>
      <c r="D104">
        <v>-0.72750000000000004</v>
      </c>
      <c r="E104">
        <v>-0.72499999999999998</v>
      </c>
      <c r="F104">
        <f>YEAR(A104)</f>
        <v>2021</v>
      </c>
      <c r="G104">
        <f>(E104-D104)*100</f>
        <v>0.25000000000000577</v>
      </c>
      <c r="H104">
        <f>ABS(G104)</f>
        <v>0.25000000000000577</v>
      </c>
    </row>
    <row r="105" spans="1:8" x14ac:dyDescent="0.2">
      <c r="A105" s="1">
        <v>44644</v>
      </c>
      <c r="D105">
        <v>-0.71</v>
      </c>
      <c r="E105">
        <v>-0.71</v>
      </c>
      <c r="F105">
        <f>YEAR(A105)</f>
        <v>2022</v>
      </c>
      <c r="G105">
        <f>(E105-D105)*100</f>
        <v>0</v>
      </c>
      <c r="H105">
        <f>ABS(G105)</f>
        <v>0</v>
      </c>
    </row>
    <row r="106" spans="1:8" x14ac:dyDescent="0.2">
      <c r="A106" s="1">
        <v>44728</v>
      </c>
      <c r="D106">
        <v>-0.61499999999999999</v>
      </c>
      <c r="E106">
        <v>-0.2175</v>
      </c>
      <c r="F106">
        <f>YEAR(A106)</f>
        <v>2022</v>
      </c>
      <c r="G106">
        <f>(E106-D106)*100</f>
        <v>39.75</v>
      </c>
      <c r="H106">
        <f>ABS(G106)</f>
        <v>39.75</v>
      </c>
    </row>
    <row r="107" spans="1:8" x14ac:dyDescent="0.2">
      <c r="A107" s="1">
        <v>44826</v>
      </c>
      <c r="D107">
        <v>0.64500000000000002</v>
      </c>
      <c r="E107">
        <v>0.435</v>
      </c>
      <c r="F107">
        <f>YEAR(A107)</f>
        <v>2022</v>
      </c>
      <c r="G107">
        <f>(E107-D107)*100</f>
        <v>-21.000000000000004</v>
      </c>
      <c r="H107">
        <f>ABS(G107)</f>
        <v>21.000000000000004</v>
      </c>
    </row>
    <row r="108" spans="1:8" x14ac:dyDescent="0.2">
      <c r="A108" s="1">
        <v>44910</v>
      </c>
      <c r="D108">
        <v>0.89800000000000002</v>
      </c>
      <c r="E108">
        <v>0.9365</v>
      </c>
      <c r="F108">
        <f>YEAR(A108)</f>
        <v>2022</v>
      </c>
      <c r="G108">
        <f>(E108-D108)*100</f>
        <v>3.8499999999999979</v>
      </c>
      <c r="H108">
        <f>ABS(G108)</f>
        <v>3.8499999999999979</v>
      </c>
    </row>
    <row r="109" spans="1:8" x14ac:dyDescent="0.2">
      <c r="A109" s="1">
        <v>45008</v>
      </c>
      <c r="D109">
        <v>1.3075000000000001</v>
      </c>
      <c r="E109">
        <v>1.40967</v>
      </c>
      <c r="F109">
        <f>YEAR(A109)</f>
        <v>2023</v>
      </c>
      <c r="G109">
        <f>(E109-D109)*100</f>
        <v>10.216999999999988</v>
      </c>
      <c r="H109">
        <f>ABS(G109)</f>
        <v>10.216999999999988</v>
      </c>
    </row>
    <row r="110" spans="1:8" x14ac:dyDescent="0.2">
      <c r="A110" s="1">
        <v>45099</v>
      </c>
      <c r="D110">
        <v>1.8406400000000001</v>
      </c>
      <c r="E110">
        <v>1.6975</v>
      </c>
      <c r="F110">
        <f>YEAR(A110)</f>
        <v>2023</v>
      </c>
      <c r="G110">
        <f>(E110-D110)*100</f>
        <v>-14.314000000000004</v>
      </c>
      <c r="H110">
        <f>ABS(G110)</f>
        <v>14.314000000000004</v>
      </c>
    </row>
    <row r="111" spans="1:8" x14ac:dyDescent="0.2">
      <c r="A111" s="1">
        <v>45190</v>
      </c>
      <c r="D111">
        <v>1.8788</v>
      </c>
      <c r="E111">
        <v>1.6970000000000001</v>
      </c>
      <c r="F111">
        <f>YEAR(A111)</f>
        <v>2023</v>
      </c>
      <c r="G111">
        <f>(E111-D111)*100</f>
        <v>-18.179999999999996</v>
      </c>
      <c r="H111">
        <f>ABS(G111)</f>
        <v>18.179999999999996</v>
      </c>
    </row>
    <row r="112" spans="1:8" x14ac:dyDescent="0.2">
      <c r="A112" s="1">
        <v>45274</v>
      </c>
      <c r="D112">
        <v>1.6613</v>
      </c>
      <c r="E112">
        <v>1.68</v>
      </c>
      <c r="F112">
        <f>YEAR(A112)</f>
        <v>2023</v>
      </c>
      <c r="G112">
        <f>(E112-D112)*100</f>
        <v>1.8699999999999939</v>
      </c>
      <c r="H112">
        <f>ABS(G112)</f>
        <v>1.8699999999999939</v>
      </c>
    </row>
    <row r="113" spans="1:8" x14ac:dyDescent="0.2">
      <c r="A113" s="1">
        <v>45372</v>
      </c>
      <c r="D113">
        <v>1.6034999999999999</v>
      </c>
      <c r="E113">
        <v>1.43893</v>
      </c>
      <c r="F113">
        <f>YEAR(A113)</f>
        <v>2024</v>
      </c>
      <c r="G113">
        <f>(E113-D113)*100</f>
        <v>-16.456999999999987</v>
      </c>
      <c r="H113">
        <f>ABS(G113)</f>
        <v>16.456999999999987</v>
      </c>
    </row>
    <row r="114" spans="1:8" x14ac:dyDescent="0.2">
      <c r="A114" s="1">
        <v>45463</v>
      </c>
      <c r="D114">
        <v>1.2875000000000001</v>
      </c>
      <c r="E114">
        <v>1.1937500000000001</v>
      </c>
      <c r="F114">
        <f>YEAR(A114)</f>
        <v>2024</v>
      </c>
      <c r="G114">
        <f>(E114-D114)*100</f>
        <v>-9.375</v>
      </c>
      <c r="H114">
        <f>ABS(G114)</f>
        <v>9.375</v>
      </c>
    </row>
    <row r="115" spans="1:8" x14ac:dyDescent="0.2">
      <c r="A115" s="1">
        <v>45561</v>
      </c>
      <c r="D115">
        <v>0.85511000000000004</v>
      </c>
      <c r="E115">
        <v>0.94227000000000005</v>
      </c>
      <c r="F115">
        <f>YEAR(A115)</f>
        <v>2024</v>
      </c>
      <c r="G115">
        <f>(E115-D115)*100</f>
        <v>8.7160000000000011</v>
      </c>
      <c r="H115">
        <f>ABS(G115)</f>
        <v>8.7160000000000011</v>
      </c>
    </row>
    <row r="116" spans="1:8" x14ac:dyDescent="0.2">
      <c r="A116" s="1">
        <v>45638</v>
      </c>
      <c r="D116">
        <v>0.60524999999999995</v>
      </c>
      <c r="E116">
        <v>0.4425</v>
      </c>
      <c r="F116">
        <f>YEAR(A116)</f>
        <v>2024</v>
      </c>
      <c r="G116">
        <f>(E116-D116)*100</f>
        <v>-16.274999999999995</v>
      </c>
      <c r="H116">
        <f>ABS(G116)</f>
        <v>16.274999999999995</v>
      </c>
    </row>
    <row r="117" spans="1:8" x14ac:dyDescent="0.2">
      <c r="A117" s="1">
        <v>45736</v>
      </c>
      <c r="D117">
        <v>0.27250000000000002</v>
      </c>
      <c r="E117">
        <v>0.18575</v>
      </c>
      <c r="F117">
        <f>YEAR(A117)</f>
        <v>2025</v>
      </c>
      <c r="G117">
        <f>(E117-D117)*100</f>
        <v>-8.6750000000000025</v>
      </c>
      <c r="H117">
        <f>ABS(G117)</f>
        <v>8.6750000000000025</v>
      </c>
    </row>
    <row r="118" spans="1:8" x14ac:dyDescent="0.2">
      <c r="A118" s="1">
        <v>45827</v>
      </c>
      <c r="D118">
        <v>-0.10575</v>
      </c>
      <c r="E118">
        <v>-0.06</v>
      </c>
      <c r="F118">
        <f>YEAR(A118)</f>
        <v>2025</v>
      </c>
      <c r="G118">
        <f>(E118-D118)*100</f>
        <v>4.5750000000000002</v>
      </c>
      <c r="H118">
        <f>ABS(G118)</f>
        <v>4.5750000000000002</v>
      </c>
    </row>
    <row r="119" spans="1:8" x14ac:dyDescent="0.2">
      <c r="A119" s="1">
        <v>45925</v>
      </c>
      <c r="D119">
        <v>-5.2060000000000002E-2</v>
      </c>
      <c r="E119">
        <v>-4.1250000000000002E-2</v>
      </c>
      <c r="F119">
        <f>YEAR(A119)</f>
        <v>2025</v>
      </c>
      <c r="G119">
        <f>(E119-D119)*100</f>
        <v>1.081</v>
      </c>
      <c r="H119">
        <f>ABS(G119)</f>
        <v>1.081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2852-9C27-4F41-9B38-2CA5464C1AE3}">
  <dimension ref="A3:C30"/>
  <sheetViews>
    <sheetView tabSelected="1" zoomScale="94" workbookViewId="0">
      <selection activeCell="H19" sqref="H19"/>
    </sheetView>
  </sheetViews>
  <sheetFormatPr baseColWidth="10" defaultRowHeight="16" x14ac:dyDescent="0.2"/>
  <cols>
    <col min="1" max="1" width="22.6640625" bestFit="1" customWidth="1"/>
    <col min="2" max="2" width="20.6640625" bestFit="1" customWidth="1"/>
    <col min="3" max="3" width="14.33203125" bestFit="1" customWidth="1"/>
    <col min="4" max="5" width="6" bestFit="1" customWidth="1"/>
    <col min="6" max="6" width="7.1640625" bestFit="1" customWidth="1"/>
    <col min="7" max="7" width="5" bestFit="1" customWidth="1"/>
    <col min="8" max="9" width="7.1640625" bestFit="1" customWidth="1"/>
    <col min="10" max="10" width="6.6640625" bestFit="1" customWidth="1"/>
    <col min="11" max="11" width="6" bestFit="1" customWidth="1"/>
    <col min="12" max="12" width="5" bestFit="1" customWidth="1"/>
    <col min="13" max="13" width="5.5" bestFit="1" customWidth="1"/>
    <col min="14" max="14" width="4.5" bestFit="1" customWidth="1"/>
    <col min="15" max="15" width="5" bestFit="1" customWidth="1"/>
    <col min="16" max="16" width="6.6640625" bestFit="1" customWidth="1"/>
    <col min="17" max="18" width="5.5" bestFit="1" customWidth="1"/>
    <col min="19" max="20" width="4.5" bestFit="1" customWidth="1"/>
    <col min="21" max="21" width="5" bestFit="1" customWidth="1"/>
    <col min="22" max="22" width="5.5" bestFit="1" customWidth="1"/>
    <col min="23" max="23" width="5" bestFit="1" customWidth="1"/>
    <col min="24" max="24" width="6" bestFit="1" customWidth="1"/>
    <col min="25" max="25" width="6.6640625" bestFit="1" customWidth="1"/>
    <col min="26" max="26" width="7.1640625" bestFit="1" customWidth="1"/>
    <col min="27" max="27" width="4.5" bestFit="1" customWidth="1"/>
    <col min="28" max="28" width="6.6640625" bestFit="1" customWidth="1"/>
    <col min="29" max="30" width="2.83203125" bestFit="1" customWidth="1"/>
    <col min="31" max="31" width="6" bestFit="1" customWidth="1"/>
    <col min="32" max="32" width="6.6640625" bestFit="1" customWidth="1"/>
    <col min="33" max="33" width="7.1640625" bestFit="1" customWidth="1"/>
    <col min="34" max="34" width="6.6640625" bestFit="1" customWidth="1"/>
    <col min="35" max="35" width="7.1640625" bestFit="1" customWidth="1"/>
    <col min="36" max="36" width="4.5" bestFit="1" customWidth="1"/>
    <col min="37" max="37" width="6.6640625" bestFit="1" customWidth="1"/>
    <col min="38" max="38" width="7.1640625" bestFit="1" customWidth="1"/>
    <col min="39" max="39" width="6.6640625" bestFit="1" customWidth="1"/>
    <col min="40" max="40" width="4.5" bestFit="1" customWidth="1"/>
    <col min="41" max="43" width="6.6640625" bestFit="1" customWidth="1"/>
    <col min="44" max="44" width="5.5" bestFit="1" customWidth="1"/>
    <col min="45" max="47" width="2.33203125" bestFit="1" customWidth="1"/>
    <col min="48" max="48" width="5" bestFit="1" customWidth="1"/>
    <col min="49" max="49" width="4.5" bestFit="1" customWidth="1"/>
    <col min="50" max="50" width="6.6640625" bestFit="1" customWidth="1"/>
    <col min="51" max="52" width="7.1640625" bestFit="1" customWidth="1"/>
    <col min="53" max="53" width="5.5" bestFit="1" customWidth="1"/>
    <col min="54" max="54" width="7.1640625" bestFit="1" customWidth="1"/>
    <col min="55" max="55" width="5" bestFit="1" customWidth="1"/>
    <col min="56" max="56" width="5.5" bestFit="1" customWidth="1"/>
    <col min="57" max="57" width="7.1640625" bestFit="1" customWidth="1"/>
    <col min="58" max="58" width="6.6640625" bestFit="1" customWidth="1"/>
    <col min="59" max="59" width="2.33203125" bestFit="1" customWidth="1"/>
    <col min="60" max="60" width="6.6640625" bestFit="1" customWidth="1"/>
    <col min="61" max="61" width="7.1640625" bestFit="1" customWidth="1"/>
    <col min="62" max="62" width="6.6640625" bestFit="1" customWidth="1"/>
    <col min="63" max="63" width="7.1640625" bestFit="1" customWidth="1"/>
    <col min="64" max="64" width="6.6640625" bestFit="1" customWidth="1"/>
    <col min="65" max="65" width="7.1640625" bestFit="1" customWidth="1"/>
    <col min="66" max="66" width="6.6640625" bestFit="1" customWidth="1"/>
    <col min="67" max="70" width="7.6640625" bestFit="1" customWidth="1"/>
    <col min="71" max="74" width="8.1640625" bestFit="1" customWidth="1"/>
    <col min="75" max="75" width="7.1640625" bestFit="1" customWidth="1"/>
    <col min="76" max="76" width="4" bestFit="1" customWidth="1"/>
    <col min="77" max="77" width="6" bestFit="1" customWidth="1"/>
    <col min="78" max="78" width="7.1640625" bestFit="1" customWidth="1"/>
    <col min="79" max="79" width="6.6640625" bestFit="1" customWidth="1"/>
    <col min="80" max="80" width="15" bestFit="1" customWidth="1"/>
    <col min="81" max="81" width="9.6640625" bestFit="1" customWidth="1"/>
    <col min="82" max="82" width="7.83203125" bestFit="1" customWidth="1"/>
    <col min="83" max="83" width="25.5" bestFit="1" customWidth="1"/>
    <col min="84" max="84" width="7.83203125" bestFit="1" customWidth="1"/>
    <col min="85" max="85" width="13.1640625" bestFit="1" customWidth="1"/>
    <col min="86" max="86" width="6.83203125" bestFit="1" customWidth="1"/>
    <col min="87" max="87" width="25.5" bestFit="1" customWidth="1"/>
    <col min="88" max="88" width="5.83203125" bestFit="1" customWidth="1"/>
    <col min="89" max="89" width="11.1640625" bestFit="1" customWidth="1"/>
    <col min="90" max="90" width="7.83203125" bestFit="1" customWidth="1"/>
    <col min="91" max="91" width="13.1640625" bestFit="1" customWidth="1"/>
    <col min="92" max="92" width="6.83203125" bestFit="1" customWidth="1"/>
    <col min="93" max="93" width="25.5" bestFit="1" customWidth="1"/>
    <col min="94" max="94" width="6.83203125" bestFit="1" customWidth="1"/>
    <col min="95" max="95" width="25.5" bestFit="1" customWidth="1"/>
    <col min="96" max="96" width="5.83203125" bestFit="1" customWidth="1"/>
    <col min="97" max="97" width="11.1640625" bestFit="1" customWidth="1"/>
    <col min="98" max="98" width="5.83203125" bestFit="1" customWidth="1"/>
    <col min="99" max="99" width="11.1640625" bestFit="1" customWidth="1"/>
    <col min="100" max="100" width="5.83203125" bestFit="1" customWidth="1"/>
    <col min="101" max="101" width="11.1640625" bestFit="1" customWidth="1"/>
    <col min="102" max="102" width="6.83203125" bestFit="1" customWidth="1"/>
    <col min="103" max="103" width="25.5" bestFit="1" customWidth="1"/>
    <col min="104" max="104" width="5.83203125" bestFit="1" customWidth="1"/>
    <col min="105" max="105" width="25.5" bestFit="1" customWidth="1"/>
    <col min="106" max="106" width="7.83203125" bestFit="1" customWidth="1"/>
    <col min="107" max="107" width="25.5" bestFit="1" customWidth="1"/>
    <col min="108" max="108" width="5.83203125" bestFit="1" customWidth="1"/>
    <col min="109" max="109" width="11.1640625" bestFit="1" customWidth="1"/>
    <col min="110" max="110" width="7.83203125" bestFit="1" customWidth="1"/>
    <col min="111" max="111" width="25.5" bestFit="1" customWidth="1"/>
    <col min="112" max="112" width="7.83203125" bestFit="1" customWidth="1"/>
    <col min="113" max="113" width="13.1640625" bestFit="1" customWidth="1"/>
    <col min="114" max="114" width="7.83203125" bestFit="1" customWidth="1"/>
    <col min="115" max="115" width="13.1640625" bestFit="1" customWidth="1"/>
    <col min="116" max="116" width="5.83203125" bestFit="1" customWidth="1"/>
    <col min="117" max="117" width="11.1640625" bestFit="1" customWidth="1"/>
    <col min="118" max="118" width="7.83203125" bestFit="1" customWidth="1"/>
    <col min="119" max="119" width="24.5" bestFit="1" customWidth="1"/>
    <col min="120" max="120" width="7.83203125" bestFit="1" customWidth="1"/>
    <col min="121" max="121" width="24.5" bestFit="1" customWidth="1"/>
    <col min="122" max="122" width="5.83203125" bestFit="1" customWidth="1"/>
    <col min="123" max="123" width="24.5" bestFit="1" customWidth="1"/>
    <col min="124" max="124" width="7.83203125" bestFit="1" customWidth="1"/>
    <col min="125" max="125" width="13.1640625" bestFit="1" customWidth="1"/>
    <col min="126" max="126" width="7.83203125" bestFit="1" customWidth="1"/>
    <col min="127" max="127" width="24.5" bestFit="1" customWidth="1"/>
    <col min="128" max="128" width="7.83203125" bestFit="1" customWidth="1"/>
    <col min="129" max="129" width="24.5" bestFit="1" customWidth="1"/>
    <col min="130" max="130" width="6.83203125" bestFit="1" customWidth="1"/>
    <col min="131" max="131" width="24.5" bestFit="1" customWidth="1"/>
    <col min="132" max="132" width="3.83203125" bestFit="1" customWidth="1"/>
    <col min="133" max="133" width="24.5" bestFit="1" customWidth="1"/>
    <col min="134" max="134" width="3.83203125" bestFit="1" customWidth="1"/>
    <col min="135" max="135" width="9.6640625" bestFit="1" customWidth="1"/>
    <col min="136" max="136" width="3.83203125" bestFit="1" customWidth="1"/>
    <col min="137" max="137" width="9.6640625" bestFit="1" customWidth="1"/>
    <col min="138" max="138" width="5.83203125" bestFit="1" customWidth="1"/>
    <col min="139" max="139" width="11.1640625" bestFit="1" customWidth="1"/>
    <col min="140" max="140" width="7.83203125" bestFit="1" customWidth="1"/>
    <col min="141" max="141" width="24.5" bestFit="1" customWidth="1"/>
    <col min="142" max="142" width="6.83203125" bestFit="1" customWidth="1"/>
    <col min="143" max="143" width="12.1640625" bestFit="1" customWidth="1"/>
    <col min="144" max="144" width="6.83203125" bestFit="1" customWidth="1"/>
    <col min="145" max="145" width="12.1640625" bestFit="1" customWidth="1"/>
    <col min="146" max="146" width="7.83203125" bestFit="1" customWidth="1"/>
    <col min="147" max="147" width="13.1640625" bestFit="1" customWidth="1"/>
    <col min="148" max="148" width="3.83203125" bestFit="1" customWidth="1"/>
    <col min="149" max="149" width="24.5" bestFit="1" customWidth="1"/>
    <col min="150" max="150" width="7.83203125" bestFit="1" customWidth="1"/>
    <col min="151" max="151" width="24.5" bestFit="1" customWidth="1"/>
    <col min="152" max="152" width="7.83203125" bestFit="1" customWidth="1"/>
    <col min="153" max="153" width="13.1640625" bestFit="1" customWidth="1"/>
    <col min="154" max="154" width="7.83203125" bestFit="1" customWidth="1"/>
    <col min="155" max="155" width="24.5" bestFit="1" customWidth="1"/>
    <col min="156" max="156" width="7.83203125" bestFit="1" customWidth="1"/>
    <col min="157" max="157" width="24.5" bestFit="1" customWidth="1"/>
    <col min="158" max="158" width="8.83203125" bestFit="1" customWidth="1"/>
    <col min="159" max="159" width="14.1640625" bestFit="1" customWidth="1"/>
    <col min="160" max="160" width="8.83203125" bestFit="1" customWidth="1"/>
    <col min="161" max="161" width="14.1640625" bestFit="1" customWidth="1"/>
    <col min="162" max="162" width="8.83203125" bestFit="1" customWidth="1"/>
    <col min="163" max="163" width="14.1640625" bestFit="1" customWidth="1"/>
    <col min="164" max="164" width="8.83203125" bestFit="1" customWidth="1"/>
    <col min="165" max="165" width="14.1640625" bestFit="1" customWidth="1"/>
    <col min="166" max="166" width="7.83203125" bestFit="1" customWidth="1"/>
    <col min="167" max="167" width="13.1640625" bestFit="1" customWidth="1"/>
    <col min="168" max="168" width="15" bestFit="1" customWidth="1"/>
  </cols>
  <sheetData>
    <row r="3" spans="1:3" x14ac:dyDescent="0.2">
      <c r="A3" s="3" t="s">
        <v>5</v>
      </c>
      <c r="B3" t="s">
        <v>10</v>
      </c>
      <c r="C3" t="s">
        <v>11</v>
      </c>
    </row>
    <row r="4" spans="1:3" x14ac:dyDescent="0.2">
      <c r="A4" s="4">
        <v>2000</v>
      </c>
      <c r="B4" s="2">
        <v>29.999000000000066</v>
      </c>
      <c r="C4" s="2">
        <v>34.665000000000084</v>
      </c>
    </row>
    <row r="5" spans="1:3" x14ac:dyDescent="0.2">
      <c r="A5" s="4">
        <v>2001</v>
      </c>
      <c r="B5" s="2">
        <v>9.1660000000000075</v>
      </c>
      <c r="C5" s="2">
        <v>9.4999999999999751</v>
      </c>
    </row>
    <row r="6" spans="1:3" x14ac:dyDescent="0.2">
      <c r="A6" s="4">
        <v>2002</v>
      </c>
      <c r="B6" s="2">
        <v>-13.165999999999977</v>
      </c>
      <c r="C6" s="2">
        <v>20.499999999999996</v>
      </c>
    </row>
    <row r="7" spans="1:3" x14ac:dyDescent="0.2">
      <c r="A7" s="4">
        <v>2003</v>
      </c>
      <c r="B7" s="2">
        <v>-0.83300000000000041</v>
      </c>
      <c r="C7" s="2">
        <v>6.1669999999999945</v>
      </c>
    </row>
    <row r="8" spans="1:3" x14ac:dyDescent="0.2">
      <c r="A8" s="4">
        <v>2004</v>
      </c>
      <c r="B8" s="2">
        <v>8.3330000000000144</v>
      </c>
      <c r="C8" s="2">
        <v>16.999000000000009</v>
      </c>
    </row>
    <row r="9" spans="1:3" x14ac:dyDescent="0.2">
      <c r="A9" s="4">
        <v>2005</v>
      </c>
      <c r="B9" s="2">
        <v>-8.333000000000002</v>
      </c>
      <c r="C9" s="2">
        <v>9.333000000000002</v>
      </c>
    </row>
    <row r="10" spans="1:3" x14ac:dyDescent="0.2">
      <c r="A10" s="4">
        <v>2006</v>
      </c>
      <c r="B10" s="2">
        <v>8.1669999999999465</v>
      </c>
      <c r="C10" s="2">
        <v>8.1669999999999465</v>
      </c>
    </row>
    <row r="11" spans="1:3" x14ac:dyDescent="0.2">
      <c r="A11" s="4">
        <v>2007</v>
      </c>
      <c r="B11" s="2">
        <v>3.4159999999999968</v>
      </c>
      <c r="C11" s="2">
        <v>3.7499999999999645</v>
      </c>
    </row>
    <row r="12" spans="1:3" x14ac:dyDescent="0.2">
      <c r="A12" s="4">
        <v>2008</v>
      </c>
      <c r="B12" s="2">
        <v>-16.166999999999963</v>
      </c>
      <c r="C12" s="2">
        <v>54.501000000000019</v>
      </c>
    </row>
    <row r="13" spans="1:3" x14ac:dyDescent="0.2">
      <c r="A13" s="4">
        <v>2009</v>
      </c>
      <c r="B13" s="2">
        <v>-0.58400000000000118</v>
      </c>
      <c r="C13" s="2">
        <v>0.58400000000000118</v>
      </c>
    </row>
    <row r="14" spans="1:3" x14ac:dyDescent="0.2">
      <c r="A14" s="4">
        <v>2010</v>
      </c>
      <c r="B14" s="2">
        <v>0.50000000000000044</v>
      </c>
      <c r="C14" s="2">
        <v>0.50000000000000044</v>
      </c>
    </row>
    <row r="15" spans="1:3" x14ac:dyDescent="0.2">
      <c r="A15" s="4">
        <v>2011</v>
      </c>
      <c r="B15" s="2">
        <v>-5.4999999999999991</v>
      </c>
      <c r="C15" s="2">
        <v>5.4999999999999991</v>
      </c>
    </row>
    <row r="16" spans="1:3" x14ac:dyDescent="0.2">
      <c r="A16" s="4">
        <v>2012</v>
      </c>
      <c r="B16" s="2">
        <v>1.0000000000010001E-3</v>
      </c>
      <c r="C16" s="2">
        <v>0.33299999999999996</v>
      </c>
    </row>
    <row r="17" spans="1:3" x14ac:dyDescent="0.2">
      <c r="A17" s="4">
        <v>2013</v>
      </c>
      <c r="B17" s="2">
        <v>0</v>
      </c>
      <c r="C17" s="2">
        <v>0</v>
      </c>
    </row>
    <row r="18" spans="1:3" x14ac:dyDescent="0.2">
      <c r="A18" s="4">
        <v>2014</v>
      </c>
      <c r="B18" s="2">
        <v>-0.60000000000000009</v>
      </c>
      <c r="C18" s="2">
        <v>3.6</v>
      </c>
    </row>
    <row r="19" spans="1:3" x14ac:dyDescent="0.2">
      <c r="A19" s="4">
        <v>2015</v>
      </c>
      <c r="B19" s="2">
        <v>-24.459999999999994</v>
      </c>
      <c r="C19" s="2">
        <v>31.059999999999995</v>
      </c>
    </row>
    <row r="20" spans="1:3" x14ac:dyDescent="0.2">
      <c r="A20" s="4">
        <v>2016</v>
      </c>
      <c r="B20" s="2">
        <v>-0.43999999999999595</v>
      </c>
      <c r="C20" s="2">
        <v>2.8399999999999981</v>
      </c>
    </row>
    <row r="21" spans="1:3" x14ac:dyDescent="0.2">
      <c r="A21" s="4">
        <v>2017</v>
      </c>
      <c r="B21" s="2">
        <v>-0.77499999999999236</v>
      </c>
      <c r="C21" s="2">
        <v>0.77499999999999236</v>
      </c>
    </row>
    <row r="22" spans="1:3" x14ac:dyDescent="0.2">
      <c r="A22" s="4">
        <v>2018</v>
      </c>
      <c r="B22" s="2">
        <v>-4.0000000000006697E-2</v>
      </c>
      <c r="C22" s="2">
        <v>0.71999999999999842</v>
      </c>
    </row>
    <row r="23" spans="1:3" x14ac:dyDescent="0.2">
      <c r="A23" s="4">
        <v>2019</v>
      </c>
      <c r="B23" s="2">
        <v>1.6000000000000014</v>
      </c>
      <c r="C23" s="2">
        <v>1.9999999999999796</v>
      </c>
    </row>
    <row r="24" spans="1:3" x14ac:dyDescent="0.2">
      <c r="A24" s="4">
        <v>2020</v>
      </c>
      <c r="B24" s="2">
        <v>3.620000000000001</v>
      </c>
      <c r="C24" s="2">
        <v>4.8999999999999932</v>
      </c>
    </row>
    <row r="25" spans="1:3" x14ac:dyDescent="0.2">
      <c r="A25" s="4">
        <v>2021</v>
      </c>
      <c r="B25" s="2">
        <v>0.25000000000000577</v>
      </c>
      <c r="C25" s="2">
        <v>0.25000000000000577</v>
      </c>
    </row>
    <row r="26" spans="1:3" x14ac:dyDescent="0.2">
      <c r="A26" s="4">
        <v>2022</v>
      </c>
      <c r="B26" s="2">
        <v>22.599999999999994</v>
      </c>
      <c r="C26" s="2">
        <v>64.599999999999994</v>
      </c>
    </row>
    <row r="27" spans="1:3" x14ac:dyDescent="0.2">
      <c r="A27" s="4">
        <v>2023</v>
      </c>
      <c r="B27" s="2">
        <v>-20.407000000000018</v>
      </c>
      <c r="C27" s="2">
        <v>44.580999999999975</v>
      </c>
    </row>
    <row r="28" spans="1:3" x14ac:dyDescent="0.2">
      <c r="A28" s="4">
        <v>2024</v>
      </c>
      <c r="B28" s="2">
        <v>-33.390999999999977</v>
      </c>
      <c r="C28" s="2">
        <v>50.822999999999979</v>
      </c>
    </row>
    <row r="29" spans="1:3" x14ac:dyDescent="0.2">
      <c r="A29" s="4">
        <v>2025</v>
      </c>
      <c r="B29" s="2">
        <v>-3.0190000000000023</v>
      </c>
      <c r="C29" s="2">
        <v>14.331000000000003</v>
      </c>
    </row>
    <row r="30" spans="1:3" x14ac:dyDescent="0.2">
      <c r="A30" s="4" t="s">
        <v>9</v>
      </c>
      <c r="B30" s="2">
        <v>-40.062999999999889</v>
      </c>
      <c r="C30" s="2">
        <v>390.97899999999993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Glauser, Livia</dc:creator>
  <cp:lastModifiedBy>Glauser, Livia</cp:lastModifiedBy>
  <dcterms:created xsi:type="dcterms:W3CDTF">2026-01-09T14:41:09Z</dcterms:created>
  <dcterms:modified xsi:type="dcterms:W3CDTF">2026-01-12T17:17:54Z</dcterms:modified>
</cp:coreProperties>
</file>